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Benefits_Matrix" sheetId="1" state="visible" r:id="rId1"/>
    <sheet xmlns:r="http://schemas.openxmlformats.org/officeDocument/2006/relationships" name="DB_Tax_Bracke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Salary_Processing" sheetId="5" state="visible" r:id="rId5"/>
    <sheet xmlns:r="http://schemas.openxmlformats.org/officeDocument/2006/relationships" name="Benefits_Lookup" sheetId="6" state="visible" r:id="rId6"/>
    <sheet xmlns:r="http://schemas.openxmlformats.org/officeDocument/2006/relationships" name="Final_Payroll" sheetId="7" state="visible" r:id="rId7"/>
    <sheet xmlns:r="http://schemas.openxmlformats.org/officeDocument/2006/relationships" name="Dashboard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Grade/Years of Service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5+</t>
        </is>
      </c>
    </row>
    <row r="2">
      <c r="A2" t="inlineStr">
        <is>
          <t>G1</t>
        </is>
      </c>
      <c r="B2" t="n">
        <v>3.63</v>
      </c>
      <c r="C2" t="n">
        <v>3.37</v>
      </c>
      <c r="D2" t="n">
        <v>1.25</v>
      </c>
      <c r="E2" t="n">
        <v>3.63</v>
      </c>
      <c r="F2" t="n">
        <v>4.27</v>
      </c>
    </row>
    <row r="3">
      <c r="A3" t="inlineStr">
        <is>
          <t>G2</t>
        </is>
      </c>
      <c r="B3" t="n">
        <v>1.13</v>
      </c>
      <c r="C3" t="n">
        <v>2.07</v>
      </c>
      <c r="D3" t="n">
        <v>4.57</v>
      </c>
      <c r="E3" t="n">
        <v>4.2</v>
      </c>
      <c r="F3" t="n">
        <v>1.95</v>
      </c>
    </row>
    <row r="4">
      <c r="A4" t="inlineStr">
        <is>
          <t>G3</t>
        </is>
      </c>
      <c r="B4" t="n">
        <v>2.7</v>
      </c>
      <c r="C4" t="n">
        <v>3.23</v>
      </c>
      <c r="D4" t="n">
        <v>3.22</v>
      </c>
      <c r="E4" t="n">
        <v>3.04</v>
      </c>
      <c r="F4" t="n">
        <v>3.84</v>
      </c>
    </row>
    <row r="5">
      <c r="A5" t="inlineStr">
        <is>
          <t>G4</t>
        </is>
      </c>
      <c r="B5" t="n">
        <v>4.65</v>
      </c>
      <c r="C5" t="n">
        <v>2.53</v>
      </c>
      <c r="D5" t="n">
        <v>1.84</v>
      </c>
      <c r="E5" t="n">
        <v>1.83</v>
      </c>
      <c r="F5" t="n">
        <v>3.52</v>
      </c>
    </row>
    <row r="6">
      <c r="A6" t="inlineStr">
        <is>
          <t>G5</t>
        </is>
      </c>
      <c r="B6" t="n">
        <v>2.16</v>
      </c>
      <c r="C6" t="n">
        <v>1.33</v>
      </c>
      <c r="D6" t="n">
        <v>4.9</v>
      </c>
      <c r="E6" t="n">
        <v>3.13</v>
      </c>
      <c r="F6" t="n">
        <v>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Min_Salary</t>
        </is>
      </c>
      <c r="B1" t="inlineStr">
        <is>
          <t>Max_Salary</t>
        </is>
      </c>
      <c r="C1" t="inlineStr">
        <is>
          <t>Tax_Rate</t>
        </is>
      </c>
      <c r="D1" t="inlineStr">
        <is>
          <t>Fixed_Deduction</t>
        </is>
      </c>
    </row>
    <row r="2">
      <c r="A2" t="n">
        <v>0</v>
      </c>
      <c r="B2" t="n">
        <v>5000</v>
      </c>
      <c r="C2" t="n">
        <v>0</v>
      </c>
      <c r="D2" t="n">
        <v>0</v>
      </c>
    </row>
    <row r="3">
      <c r="A3" t="n">
        <v>5001</v>
      </c>
      <c r="B3" t="n">
        <v>10000</v>
      </c>
      <c r="C3" t="n">
        <v>0.05</v>
      </c>
      <c r="D3" t="n">
        <v>250</v>
      </c>
    </row>
    <row r="4">
      <c r="A4" t="n">
        <v>10001</v>
      </c>
      <c r="B4" t="n">
        <v>15000</v>
      </c>
      <c r="C4" t="n">
        <v>0.1</v>
      </c>
      <c r="D4" t="n">
        <v>750</v>
      </c>
    </row>
    <row r="5">
      <c r="A5" t="n">
        <v>15001</v>
      </c>
      <c r="B5" t="n">
        <v>999999</v>
      </c>
      <c r="C5" t="n">
        <v>0.2</v>
      </c>
      <c r="D5" t="n">
        <v>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Grade</t>
        </is>
      </c>
      <c r="D1" t="inlineStr">
        <is>
          <t>Join_Date</t>
        </is>
      </c>
      <c r="E1" t="inlineStr">
        <is>
          <t>Base_Salary</t>
        </is>
      </c>
      <c r="F1" t="inlineStr">
        <is>
          <t>Department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G5</t>
        </is>
      </c>
      <c r="D2" s="1" t="n">
        <v>45321</v>
      </c>
      <c r="E2" t="n">
        <v>8631</v>
      </c>
      <c r="F2" t="inlineStr">
        <is>
          <t>IT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G3</t>
        </is>
      </c>
      <c r="D3" s="1" t="n">
        <v>45115</v>
      </c>
      <c r="E3" t="n">
        <v>4395</v>
      </c>
      <c r="F3" t="inlineStr">
        <is>
          <t>HR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G2</t>
        </is>
      </c>
      <c r="D4" s="1" t="n">
        <v>44792</v>
      </c>
      <c r="E4" t="n">
        <v>12607</v>
      </c>
      <c r="F4" t="inlineStr">
        <is>
          <t>HR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G3</t>
        </is>
      </c>
      <c r="D5" s="1" t="n">
        <v>44669</v>
      </c>
      <c r="E5" t="n">
        <v>6920</v>
      </c>
      <c r="F5" t="inlineStr">
        <is>
          <t>Finance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G3</t>
        </is>
      </c>
      <c r="D6" s="1" t="n">
        <v>45725</v>
      </c>
      <c r="E6" t="n">
        <v>17640</v>
      </c>
      <c r="F6" t="inlineStr">
        <is>
          <t>Operations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G5</t>
        </is>
      </c>
      <c r="D7" s="1" t="n">
        <v>44727</v>
      </c>
      <c r="E7" t="n">
        <v>19522</v>
      </c>
      <c r="F7" t="inlineStr">
        <is>
          <t>Operations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G1</t>
        </is>
      </c>
      <c r="D8" s="1" t="n">
        <v>45234</v>
      </c>
      <c r="E8" t="n">
        <v>12374</v>
      </c>
      <c r="F8" t="inlineStr">
        <is>
          <t>Operations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G1</t>
        </is>
      </c>
      <c r="D9" s="1" t="n">
        <v>44503</v>
      </c>
      <c r="E9" t="n">
        <v>5088</v>
      </c>
      <c r="F9" t="inlineStr">
        <is>
          <t>Operations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G3</t>
        </is>
      </c>
      <c r="D10" s="1" t="n">
        <v>44950</v>
      </c>
      <c r="E10" t="n">
        <v>10580</v>
      </c>
      <c r="F10" t="inlineStr">
        <is>
          <t>Finance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G2</t>
        </is>
      </c>
      <c r="D11" s="1" t="n">
        <v>45438</v>
      </c>
      <c r="E11" t="n">
        <v>11519</v>
      </c>
      <c r="F11" t="inlineStr">
        <is>
          <t>Finance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G2</t>
        </is>
      </c>
      <c r="D12" s="1" t="n">
        <v>45083</v>
      </c>
      <c r="E12" t="n">
        <v>9682</v>
      </c>
      <c r="F12" t="inlineStr">
        <is>
          <t>Finance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G5</t>
        </is>
      </c>
      <c r="D13" s="1" t="n">
        <v>45372</v>
      </c>
      <c r="E13" t="n">
        <v>18565</v>
      </c>
      <c r="F13" t="inlineStr">
        <is>
          <t>HR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G2</t>
        </is>
      </c>
      <c r="D14" s="1" t="n">
        <v>45407</v>
      </c>
      <c r="E14" t="n">
        <v>8169</v>
      </c>
      <c r="F14" t="inlineStr">
        <is>
          <t>Finance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G4</t>
        </is>
      </c>
      <c r="D15" s="1" t="n">
        <v>45059</v>
      </c>
      <c r="E15" t="n">
        <v>14029</v>
      </c>
      <c r="F15" t="inlineStr">
        <is>
          <t>HR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G4</t>
        </is>
      </c>
      <c r="D16" s="1" t="n">
        <v>45730</v>
      </c>
      <c r="E16" t="n">
        <v>17648</v>
      </c>
      <c r="F16" t="inlineStr">
        <is>
          <t>IT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G3</t>
        </is>
      </c>
      <c r="D17" s="1" t="n">
        <v>44945</v>
      </c>
      <c r="E17" t="n">
        <v>17154</v>
      </c>
      <c r="F17" t="inlineStr">
        <is>
          <t>Finance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G2</t>
        </is>
      </c>
      <c r="D18" s="1" t="n">
        <v>45022</v>
      </c>
      <c r="E18" t="n">
        <v>9223</v>
      </c>
      <c r="F18" t="inlineStr">
        <is>
          <t>HR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G4</t>
        </is>
      </c>
      <c r="D19" s="1" t="n">
        <v>45679</v>
      </c>
      <c r="E19" t="n">
        <v>8660</v>
      </c>
      <c r="F19" t="inlineStr">
        <is>
          <t>Finance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G4</t>
        </is>
      </c>
      <c r="D20" s="1" t="n">
        <v>44470</v>
      </c>
      <c r="E20" t="n">
        <v>18692</v>
      </c>
      <c r="F20" t="inlineStr">
        <is>
          <t>Operations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G5</t>
        </is>
      </c>
      <c r="D21" s="1" t="n">
        <v>45084</v>
      </c>
      <c r="E21" t="n">
        <v>12689</v>
      </c>
      <c r="F21" t="inlineStr">
        <is>
          <t>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Month</t>
        </is>
      </c>
      <c r="C1" t="inlineStr">
        <is>
          <t>Days_Present</t>
        </is>
      </c>
      <c r="D1" t="inlineStr">
        <is>
          <t>Overtime_Hours</t>
        </is>
      </c>
      <c r="E1" t="inlineStr">
        <is>
          <t>Absent_Days</t>
        </is>
      </c>
    </row>
    <row r="2">
      <c r="A2" t="inlineStr">
        <is>
          <t>E001</t>
        </is>
      </c>
      <c r="B2" t="inlineStr">
        <is>
          <t>Jan</t>
        </is>
      </c>
      <c r="C2" t="n">
        <v>22</v>
      </c>
      <c r="D2" t="n">
        <v>19</v>
      </c>
      <c r="E2" t="n">
        <v>5</v>
      </c>
    </row>
    <row r="3">
      <c r="A3" t="inlineStr">
        <is>
          <t>E001</t>
        </is>
      </c>
      <c r="B3" t="inlineStr">
        <is>
          <t>Feb</t>
        </is>
      </c>
      <c r="C3" t="n">
        <v>30</v>
      </c>
      <c r="D3" t="n">
        <v>20</v>
      </c>
      <c r="E3" t="n">
        <v>0</v>
      </c>
    </row>
    <row r="4">
      <c r="A4" t="inlineStr">
        <is>
          <t>E001</t>
        </is>
      </c>
      <c r="B4" t="inlineStr">
        <is>
          <t>Mar</t>
        </is>
      </c>
      <c r="C4" t="n">
        <v>23</v>
      </c>
      <c r="D4" t="n">
        <v>13</v>
      </c>
      <c r="E4" t="n">
        <v>0</v>
      </c>
    </row>
    <row r="5">
      <c r="A5" t="inlineStr">
        <is>
          <t>E002</t>
        </is>
      </c>
      <c r="B5" t="inlineStr">
        <is>
          <t>Jan</t>
        </is>
      </c>
      <c r="C5" t="n">
        <v>26</v>
      </c>
      <c r="D5" t="n">
        <v>8</v>
      </c>
      <c r="E5" t="n">
        <v>4</v>
      </c>
    </row>
    <row r="6">
      <c r="A6" t="inlineStr">
        <is>
          <t>E002</t>
        </is>
      </c>
      <c r="B6" t="inlineStr">
        <is>
          <t>Feb</t>
        </is>
      </c>
      <c r="C6" t="n">
        <v>25</v>
      </c>
      <c r="D6" t="n">
        <v>20</v>
      </c>
      <c r="E6" t="n">
        <v>5</v>
      </c>
    </row>
    <row r="7">
      <c r="A7" t="inlineStr">
        <is>
          <t>E002</t>
        </is>
      </c>
      <c r="B7" t="inlineStr">
        <is>
          <t>Mar</t>
        </is>
      </c>
      <c r="C7" t="n">
        <v>27</v>
      </c>
      <c r="D7" t="n">
        <v>5</v>
      </c>
      <c r="E7" t="n">
        <v>5</v>
      </c>
    </row>
    <row r="8">
      <c r="A8" t="inlineStr">
        <is>
          <t>E003</t>
        </is>
      </c>
      <c r="B8" t="inlineStr">
        <is>
          <t>Jan</t>
        </is>
      </c>
      <c r="C8" t="n">
        <v>26</v>
      </c>
      <c r="D8" t="n">
        <v>10</v>
      </c>
      <c r="E8" t="n">
        <v>1</v>
      </c>
    </row>
    <row r="9">
      <c r="A9" t="inlineStr">
        <is>
          <t>E003</t>
        </is>
      </c>
      <c r="B9" t="inlineStr">
        <is>
          <t>Feb</t>
        </is>
      </c>
      <c r="C9" t="n">
        <v>29</v>
      </c>
      <c r="D9" t="n">
        <v>3</v>
      </c>
      <c r="E9" t="n">
        <v>4</v>
      </c>
    </row>
    <row r="10">
      <c r="A10" t="inlineStr">
        <is>
          <t>E003</t>
        </is>
      </c>
      <c r="B10" t="inlineStr">
        <is>
          <t>Mar</t>
        </is>
      </c>
      <c r="C10" t="n">
        <v>24</v>
      </c>
      <c r="D10" t="n">
        <v>5</v>
      </c>
      <c r="E10" t="n">
        <v>4</v>
      </c>
    </row>
    <row r="11">
      <c r="A11" t="inlineStr">
        <is>
          <t>E004</t>
        </is>
      </c>
      <c r="B11" t="inlineStr">
        <is>
          <t>Jan</t>
        </is>
      </c>
      <c r="C11" t="n">
        <v>29</v>
      </c>
      <c r="D11" t="n">
        <v>8</v>
      </c>
      <c r="E11" t="n">
        <v>4</v>
      </c>
    </row>
    <row r="12">
      <c r="A12" t="inlineStr">
        <is>
          <t>E004</t>
        </is>
      </c>
      <c r="B12" t="inlineStr">
        <is>
          <t>Feb</t>
        </is>
      </c>
      <c r="C12" t="n">
        <v>21</v>
      </c>
      <c r="D12" t="n">
        <v>18</v>
      </c>
      <c r="E12" t="n">
        <v>1</v>
      </c>
    </row>
    <row r="13">
      <c r="A13" t="inlineStr">
        <is>
          <t>E004</t>
        </is>
      </c>
      <c r="B13" t="inlineStr">
        <is>
          <t>Mar</t>
        </is>
      </c>
      <c r="C13" t="n">
        <v>27</v>
      </c>
      <c r="D13" t="n">
        <v>1</v>
      </c>
      <c r="E13" t="n">
        <v>3</v>
      </c>
    </row>
    <row r="14">
      <c r="A14" t="inlineStr">
        <is>
          <t>E005</t>
        </is>
      </c>
      <c r="B14" t="inlineStr">
        <is>
          <t>Jan</t>
        </is>
      </c>
      <c r="C14" t="n">
        <v>23</v>
      </c>
      <c r="D14" t="n">
        <v>7</v>
      </c>
      <c r="E14" t="n">
        <v>4</v>
      </c>
    </row>
    <row r="15">
      <c r="A15" t="inlineStr">
        <is>
          <t>E005</t>
        </is>
      </c>
      <c r="B15" t="inlineStr">
        <is>
          <t>Feb</t>
        </is>
      </c>
      <c r="C15" t="n">
        <v>22</v>
      </c>
      <c r="D15" t="n">
        <v>14</v>
      </c>
      <c r="E15" t="n">
        <v>5</v>
      </c>
    </row>
    <row r="16">
      <c r="A16" t="inlineStr">
        <is>
          <t>E005</t>
        </is>
      </c>
      <c r="B16" t="inlineStr">
        <is>
          <t>Mar</t>
        </is>
      </c>
      <c r="C16" t="n">
        <v>22</v>
      </c>
      <c r="D16" t="n">
        <v>7</v>
      </c>
      <c r="E16" t="n">
        <v>4</v>
      </c>
    </row>
    <row r="17">
      <c r="A17" t="inlineStr">
        <is>
          <t>E006</t>
        </is>
      </c>
      <c r="B17" t="inlineStr">
        <is>
          <t>Jan</t>
        </is>
      </c>
      <c r="C17" t="n">
        <v>25</v>
      </c>
      <c r="D17" t="n">
        <v>9</v>
      </c>
      <c r="E17" t="n">
        <v>3</v>
      </c>
    </row>
    <row r="18">
      <c r="A18" t="inlineStr">
        <is>
          <t>E006</t>
        </is>
      </c>
      <c r="B18" t="inlineStr">
        <is>
          <t>Feb</t>
        </is>
      </c>
      <c r="C18" t="n">
        <v>30</v>
      </c>
      <c r="D18" t="n">
        <v>6</v>
      </c>
      <c r="E18" t="n">
        <v>4</v>
      </c>
    </row>
    <row r="19">
      <c r="A19" t="inlineStr">
        <is>
          <t>E006</t>
        </is>
      </c>
      <c r="B19" t="inlineStr">
        <is>
          <t>Mar</t>
        </is>
      </c>
      <c r="C19" t="n">
        <v>28</v>
      </c>
      <c r="D19" t="n">
        <v>7</v>
      </c>
      <c r="E19" t="n">
        <v>1</v>
      </c>
    </row>
    <row r="20">
      <c r="A20" t="inlineStr">
        <is>
          <t>E007</t>
        </is>
      </c>
      <c r="B20" t="inlineStr">
        <is>
          <t>Jan</t>
        </is>
      </c>
      <c r="C20" t="n">
        <v>21</v>
      </c>
      <c r="D20" t="n">
        <v>7</v>
      </c>
      <c r="E20" t="n">
        <v>4</v>
      </c>
    </row>
    <row r="21">
      <c r="A21" t="inlineStr">
        <is>
          <t>E007</t>
        </is>
      </c>
      <c r="B21" t="inlineStr">
        <is>
          <t>Feb</t>
        </is>
      </c>
      <c r="C21" t="n">
        <v>24</v>
      </c>
      <c r="D21" t="n">
        <v>11</v>
      </c>
      <c r="E21" t="n">
        <v>0</v>
      </c>
    </row>
    <row r="22">
      <c r="A22" t="inlineStr">
        <is>
          <t>E007</t>
        </is>
      </c>
      <c r="B22" t="inlineStr">
        <is>
          <t>Mar</t>
        </is>
      </c>
      <c r="C22" t="n">
        <v>30</v>
      </c>
      <c r="D22" t="n">
        <v>10</v>
      </c>
      <c r="E22" t="n">
        <v>5</v>
      </c>
    </row>
    <row r="23">
      <c r="A23" t="inlineStr">
        <is>
          <t>E008</t>
        </is>
      </c>
      <c r="B23" t="inlineStr">
        <is>
          <t>Jan</t>
        </is>
      </c>
      <c r="C23" t="n">
        <v>24</v>
      </c>
      <c r="D23" t="n">
        <v>20</v>
      </c>
      <c r="E23" t="n">
        <v>3</v>
      </c>
    </row>
    <row r="24">
      <c r="A24" t="inlineStr">
        <is>
          <t>E008</t>
        </is>
      </c>
      <c r="B24" t="inlineStr">
        <is>
          <t>Feb</t>
        </is>
      </c>
      <c r="C24" t="n">
        <v>23</v>
      </c>
      <c r="D24" t="n">
        <v>17</v>
      </c>
      <c r="E24" t="n">
        <v>2</v>
      </c>
    </row>
    <row r="25">
      <c r="A25" t="inlineStr">
        <is>
          <t>E008</t>
        </is>
      </c>
      <c r="B25" t="inlineStr">
        <is>
          <t>Mar</t>
        </is>
      </c>
      <c r="C25" t="n">
        <v>22</v>
      </c>
      <c r="D25" t="n">
        <v>13</v>
      </c>
      <c r="E25" t="n">
        <v>3</v>
      </c>
    </row>
    <row r="26">
      <c r="A26" t="inlineStr">
        <is>
          <t>E009</t>
        </is>
      </c>
      <c r="B26" t="inlineStr">
        <is>
          <t>Jan</t>
        </is>
      </c>
      <c r="C26" t="n">
        <v>30</v>
      </c>
      <c r="D26" t="n">
        <v>6</v>
      </c>
      <c r="E26" t="n">
        <v>2</v>
      </c>
    </row>
    <row r="27">
      <c r="A27" t="inlineStr">
        <is>
          <t>E009</t>
        </is>
      </c>
      <c r="B27" t="inlineStr">
        <is>
          <t>Feb</t>
        </is>
      </c>
      <c r="C27" t="n">
        <v>21</v>
      </c>
      <c r="D27" t="n">
        <v>17</v>
      </c>
      <c r="E27" t="n">
        <v>3</v>
      </c>
    </row>
    <row r="28">
      <c r="A28" t="inlineStr">
        <is>
          <t>E009</t>
        </is>
      </c>
      <c r="B28" t="inlineStr">
        <is>
          <t>Mar</t>
        </is>
      </c>
      <c r="C28" t="n">
        <v>22</v>
      </c>
      <c r="D28" t="n">
        <v>8</v>
      </c>
      <c r="E28" t="n">
        <v>1</v>
      </c>
    </row>
    <row r="29">
      <c r="A29" t="inlineStr">
        <is>
          <t>E010</t>
        </is>
      </c>
      <c r="B29" t="inlineStr">
        <is>
          <t>Jan</t>
        </is>
      </c>
      <c r="C29" t="n">
        <v>24</v>
      </c>
      <c r="D29" t="n">
        <v>17</v>
      </c>
      <c r="E29" t="n">
        <v>4</v>
      </c>
    </row>
    <row r="30">
      <c r="A30" t="inlineStr">
        <is>
          <t>E010</t>
        </is>
      </c>
      <c r="B30" t="inlineStr">
        <is>
          <t>Feb</t>
        </is>
      </c>
      <c r="C30" t="n">
        <v>22</v>
      </c>
      <c r="D30" t="n">
        <v>9</v>
      </c>
      <c r="E30" t="n">
        <v>3</v>
      </c>
    </row>
    <row r="31">
      <c r="A31" t="inlineStr">
        <is>
          <t>E010</t>
        </is>
      </c>
      <c r="B31" t="inlineStr">
        <is>
          <t>Mar</t>
        </is>
      </c>
      <c r="C31" t="n">
        <v>28</v>
      </c>
      <c r="D31" t="n">
        <v>10</v>
      </c>
      <c r="E31" t="n">
        <v>1</v>
      </c>
    </row>
    <row r="32">
      <c r="A32" t="inlineStr">
        <is>
          <t>E011</t>
        </is>
      </c>
      <c r="B32" t="inlineStr">
        <is>
          <t>Jan</t>
        </is>
      </c>
      <c r="C32" t="n">
        <v>24</v>
      </c>
      <c r="D32" t="n">
        <v>11</v>
      </c>
      <c r="E32" t="n">
        <v>3</v>
      </c>
    </row>
    <row r="33">
      <c r="A33" t="inlineStr">
        <is>
          <t>E011</t>
        </is>
      </c>
      <c r="B33" t="inlineStr">
        <is>
          <t>Feb</t>
        </is>
      </c>
      <c r="C33" t="n">
        <v>26</v>
      </c>
      <c r="D33" t="n">
        <v>1</v>
      </c>
      <c r="E33" t="n">
        <v>3</v>
      </c>
    </row>
    <row r="34">
      <c r="A34" t="inlineStr">
        <is>
          <t>E011</t>
        </is>
      </c>
      <c r="B34" t="inlineStr">
        <is>
          <t>Mar</t>
        </is>
      </c>
      <c r="C34" t="n">
        <v>24</v>
      </c>
      <c r="D34" t="n">
        <v>18</v>
      </c>
      <c r="E34" t="n">
        <v>2</v>
      </c>
    </row>
    <row r="35">
      <c r="A35" t="inlineStr">
        <is>
          <t>E012</t>
        </is>
      </c>
      <c r="B35" t="inlineStr">
        <is>
          <t>Jan</t>
        </is>
      </c>
      <c r="C35" t="n">
        <v>27</v>
      </c>
      <c r="D35" t="n">
        <v>1</v>
      </c>
      <c r="E35" t="n">
        <v>4</v>
      </c>
    </row>
    <row r="36">
      <c r="A36" t="inlineStr">
        <is>
          <t>E012</t>
        </is>
      </c>
      <c r="B36" t="inlineStr">
        <is>
          <t>Feb</t>
        </is>
      </c>
      <c r="C36" t="n">
        <v>29</v>
      </c>
      <c r="D36" t="n">
        <v>17</v>
      </c>
      <c r="E36" t="n">
        <v>0</v>
      </c>
    </row>
    <row r="37">
      <c r="A37" t="inlineStr">
        <is>
          <t>E012</t>
        </is>
      </c>
      <c r="B37" t="inlineStr">
        <is>
          <t>Mar</t>
        </is>
      </c>
      <c r="C37" t="n">
        <v>26</v>
      </c>
      <c r="D37" t="n">
        <v>9</v>
      </c>
      <c r="E37" t="n">
        <v>3</v>
      </c>
    </row>
    <row r="38">
      <c r="A38" t="inlineStr">
        <is>
          <t>E013</t>
        </is>
      </c>
      <c r="B38" t="inlineStr">
        <is>
          <t>Jan</t>
        </is>
      </c>
      <c r="C38" t="n">
        <v>28</v>
      </c>
      <c r="D38" t="n">
        <v>15</v>
      </c>
      <c r="E38" t="n">
        <v>3</v>
      </c>
    </row>
    <row r="39">
      <c r="A39" t="inlineStr">
        <is>
          <t>E013</t>
        </is>
      </c>
      <c r="B39" t="inlineStr">
        <is>
          <t>Feb</t>
        </is>
      </c>
      <c r="C39" t="n">
        <v>25</v>
      </c>
      <c r="D39" t="n">
        <v>7</v>
      </c>
      <c r="E39" t="n">
        <v>4</v>
      </c>
    </row>
    <row r="40">
      <c r="A40" t="inlineStr">
        <is>
          <t>E013</t>
        </is>
      </c>
      <c r="B40" t="inlineStr">
        <is>
          <t>Mar</t>
        </is>
      </c>
      <c r="C40" t="n">
        <v>28</v>
      </c>
      <c r="D40" t="n">
        <v>8</v>
      </c>
      <c r="E40" t="n">
        <v>5</v>
      </c>
    </row>
    <row r="41">
      <c r="A41" t="inlineStr">
        <is>
          <t>E014</t>
        </is>
      </c>
      <c r="B41" t="inlineStr">
        <is>
          <t>Jan</t>
        </is>
      </c>
      <c r="C41" t="n">
        <v>23</v>
      </c>
      <c r="D41" t="n">
        <v>5</v>
      </c>
      <c r="E41" t="n">
        <v>4</v>
      </c>
    </row>
    <row r="42">
      <c r="A42" t="inlineStr">
        <is>
          <t>E014</t>
        </is>
      </c>
      <c r="B42" t="inlineStr">
        <is>
          <t>Feb</t>
        </is>
      </c>
      <c r="C42" t="n">
        <v>29</v>
      </c>
      <c r="D42" t="n">
        <v>5</v>
      </c>
      <c r="E42" t="n">
        <v>5</v>
      </c>
    </row>
    <row r="43">
      <c r="A43" t="inlineStr">
        <is>
          <t>E014</t>
        </is>
      </c>
      <c r="B43" t="inlineStr">
        <is>
          <t>Mar</t>
        </is>
      </c>
      <c r="C43" t="n">
        <v>24</v>
      </c>
      <c r="D43" t="n">
        <v>16</v>
      </c>
      <c r="E43" t="n">
        <v>2</v>
      </c>
    </row>
    <row r="44">
      <c r="A44" t="inlineStr">
        <is>
          <t>E015</t>
        </is>
      </c>
      <c r="B44" t="inlineStr">
        <is>
          <t>Jan</t>
        </is>
      </c>
      <c r="C44" t="n">
        <v>28</v>
      </c>
      <c r="D44" t="n">
        <v>0</v>
      </c>
      <c r="E44" t="n">
        <v>0</v>
      </c>
    </row>
    <row r="45">
      <c r="A45" t="inlineStr">
        <is>
          <t>E015</t>
        </is>
      </c>
      <c r="B45" t="inlineStr">
        <is>
          <t>Feb</t>
        </is>
      </c>
      <c r="C45" t="n">
        <v>23</v>
      </c>
      <c r="D45" t="n">
        <v>17</v>
      </c>
      <c r="E45" t="n">
        <v>0</v>
      </c>
    </row>
    <row r="46">
      <c r="A46" t="inlineStr">
        <is>
          <t>E015</t>
        </is>
      </c>
      <c r="B46" t="inlineStr">
        <is>
          <t>Mar</t>
        </is>
      </c>
      <c r="C46" t="n">
        <v>21</v>
      </c>
      <c r="D46" t="n">
        <v>13</v>
      </c>
      <c r="E46" t="n">
        <v>3</v>
      </c>
    </row>
    <row r="47">
      <c r="A47" t="inlineStr">
        <is>
          <t>E016</t>
        </is>
      </c>
      <c r="B47" t="inlineStr">
        <is>
          <t>Jan</t>
        </is>
      </c>
      <c r="C47" t="n">
        <v>29</v>
      </c>
      <c r="D47" t="n">
        <v>2</v>
      </c>
      <c r="E47" t="n">
        <v>3</v>
      </c>
    </row>
    <row r="48">
      <c r="A48" t="inlineStr">
        <is>
          <t>E016</t>
        </is>
      </c>
      <c r="B48" t="inlineStr">
        <is>
          <t>Feb</t>
        </is>
      </c>
      <c r="C48" t="n">
        <v>29</v>
      </c>
      <c r="D48" t="n">
        <v>17</v>
      </c>
      <c r="E48" t="n">
        <v>2</v>
      </c>
    </row>
    <row r="49">
      <c r="A49" t="inlineStr">
        <is>
          <t>E016</t>
        </is>
      </c>
      <c r="B49" t="inlineStr">
        <is>
          <t>Mar</t>
        </is>
      </c>
      <c r="C49" t="n">
        <v>28</v>
      </c>
      <c r="D49" t="n">
        <v>6</v>
      </c>
      <c r="E49" t="n">
        <v>2</v>
      </c>
    </row>
    <row r="50">
      <c r="A50" t="inlineStr">
        <is>
          <t>E017</t>
        </is>
      </c>
      <c r="B50" t="inlineStr">
        <is>
          <t>Jan</t>
        </is>
      </c>
      <c r="C50" t="n">
        <v>26</v>
      </c>
      <c r="D50" t="n">
        <v>12</v>
      </c>
      <c r="E50" t="n">
        <v>0</v>
      </c>
    </row>
    <row r="51">
      <c r="A51" t="inlineStr">
        <is>
          <t>E017</t>
        </is>
      </c>
      <c r="B51" t="inlineStr">
        <is>
          <t>Feb</t>
        </is>
      </c>
      <c r="C51" t="n">
        <v>20</v>
      </c>
      <c r="D51" t="n">
        <v>19</v>
      </c>
      <c r="E51" t="n">
        <v>5</v>
      </c>
    </row>
    <row r="52">
      <c r="A52" t="inlineStr">
        <is>
          <t>E017</t>
        </is>
      </c>
      <c r="B52" t="inlineStr">
        <is>
          <t>Mar</t>
        </is>
      </c>
      <c r="C52" t="n">
        <v>20</v>
      </c>
      <c r="D52" t="n">
        <v>6</v>
      </c>
      <c r="E52" t="n">
        <v>1</v>
      </c>
    </row>
    <row r="53">
      <c r="A53" t="inlineStr">
        <is>
          <t>E018</t>
        </is>
      </c>
      <c r="B53" t="inlineStr">
        <is>
          <t>Jan</t>
        </is>
      </c>
      <c r="C53" t="n">
        <v>22</v>
      </c>
      <c r="D53" t="n">
        <v>20</v>
      </c>
      <c r="E53" t="n">
        <v>4</v>
      </c>
    </row>
    <row r="54">
      <c r="A54" t="inlineStr">
        <is>
          <t>E018</t>
        </is>
      </c>
      <c r="B54" t="inlineStr">
        <is>
          <t>Feb</t>
        </is>
      </c>
      <c r="C54" t="n">
        <v>21</v>
      </c>
      <c r="D54" t="n">
        <v>14</v>
      </c>
      <c r="E54" t="n">
        <v>1</v>
      </c>
    </row>
    <row r="55">
      <c r="A55" t="inlineStr">
        <is>
          <t>E018</t>
        </is>
      </c>
      <c r="B55" t="inlineStr">
        <is>
          <t>Mar</t>
        </is>
      </c>
      <c r="C55" t="n">
        <v>20</v>
      </c>
      <c r="D55" t="n">
        <v>2</v>
      </c>
      <c r="E55" t="n">
        <v>0</v>
      </c>
    </row>
    <row r="56">
      <c r="A56" t="inlineStr">
        <is>
          <t>E019</t>
        </is>
      </c>
      <c r="B56" t="inlineStr">
        <is>
          <t>Jan</t>
        </is>
      </c>
      <c r="C56" t="n">
        <v>22</v>
      </c>
      <c r="D56" t="n">
        <v>3</v>
      </c>
      <c r="E56" t="n">
        <v>3</v>
      </c>
    </row>
    <row r="57">
      <c r="A57" t="inlineStr">
        <is>
          <t>E019</t>
        </is>
      </c>
      <c r="B57" t="inlineStr">
        <is>
          <t>Feb</t>
        </is>
      </c>
      <c r="C57" t="n">
        <v>29</v>
      </c>
      <c r="D57" t="n">
        <v>14</v>
      </c>
      <c r="E57" t="n">
        <v>1</v>
      </c>
    </row>
    <row r="58">
      <c r="A58" t="inlineStr">
        <is>
          <t>E019</t>
        </is>
      </c>
      <c r="B58" t="inlineStr">
        <is>
          <t>Mar</t>
        </is>
      </c>
      <c r="C58" t="n">
        <v>28</v>
      </c>
      <c r="D58" t="n">
        <v>16</v>
      </c>
      <c r="E58" t="n">
        <v>0</v>
      </c>
    </row>
    <row r="59">
      <c r="A59" t="inlineStr">
        <is>
          <t>E020</t>
        </is>
      </c>
      <c r="B59" t="inlineStr">
        <is>
          <t>Jan</t>
        </is>
      </c>
      <c r="C59" t="n">
        <v>24</v>
      </c>
      <c r="D59" t="n">
        <v>9</v>
      </c>
      <c r="E59" t="n">
        <v>2</v>
      </c>
    </row>
    <row r="60">
      <c r="A60" t="inlineStr">
        <is>
          <t>E020</t>
        </is>
      </c>
      <c r="B60" t="inlineStr">
        <is>
          <t>Feb</t>
        </is>
      </c>
      <c r="C60" t="n">
        <v>20</v>
      </c>
      <c r="D60" t="n">
        <v>7</v>
      </c>
      <c r="E60" t="n">
        <v>0</v>
      </c>
    </row>
    <row r="61">
      <c r="A61" t="inlineStr">
        <is>
          <t>E020</t>
        </is>
      </c>
      <c r="B61" t="inlineStr">
        <is>
          <t>Mar</t>
        </is>
      </c>
      <c r="C61" t="n">
        <v>20</v>
      </c>
      <c r="D61" t="n">
        <v>11</v>
      </c>
      <c r="E6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Month</t>
        </is>
      </c>
      <c r="C1" t="inlineStr">
        <is>
          <t>Base_Salary</t>
        </is>
      </c>
      <c r="D1" t="inlineStr">
        <is>
          <t>Overtime_Pay</t>
        </is>
      </c>
      <c r="E1" t="inlineStr">
        <is>
          <t>Gross_Salary</t>
        </is>
      </c>
      <c r="F1" t="inlineStr">
        <is>
          <t>Tax_Amount</t>
        </is>
      </c>
      <c r="G1" t="inlineStr">
        <is>
          <t>Net_Salary</t>
        </is>
      </c>
    </row>
    <row r="2">
      <c r="A2" t="inlineStr">
        <is>
          <t>E001</t>
        </is>
      </c>
      <c r="B2" t="inlineStr">
        <is>
          <t>Jan</t>
        </is>
      </c>
      <c r="C2">
        <f>VLOOKUP(A2, Employees!$A$2:$E$21, 5, FALSE)</f>
        <v/>
      </c>
      <c r="D2">
        <f>VLOOKUP(A2, Attendance!$A$2:$D$61, 4, FALSE) * (C2/30/8)</f>
        <v/>
      </c>
      <c r="E2">
        <f>C2 + D2</f>
        <v/>
      </c>
      <c r="F2">
        <f>IF(E2&gt;15000, E2*0.2, IF(E2&gt;10000, E2*0.1, IF(E2&gt;5000, E2*0.05, 0)))</f>
        <v/>
      </c>
      <c r="G2">
        <f>E2 - F2</f>
        <v/>
      </c>
    </row>
    <row r="3">
      <c r="A3" t="inlineStr">
        <is>
          <t>E001</t>
        </is>
      </c>
      <c r="B3" t="inlineStr">
        <is>
          <t>Feb</t>
        </is>
      </c>
      <c r="C3">
        <f>VLOOKUP(A3, Employees!$A$2:$E$21, 5, FALSE)</f>
        <v/>
      </c>
      <c r="D3">
        <f>VLOOKUP(A3, Attendance!$A$2:$D$61, 4, FALSE) * (C3/30/8)</f>
        <v/>
      </c>
      <c r="E3">
        <f>C3 + D3</f>
        <v/>
      </c>
      <c r="F3">
        <f>IF(E3&gt;15000, E3*0.2, IF(E3&gt;10000, E3*0.1, IF(E3&gt;5000, E3*0.05, 0)))</f>
        <v/>
      </c>
      <c r="G3">
        <f>E3 - F3</f>
        <v/>
      </c>
    </row>
    <row r="4">
      <c r="A4" t="inlineStr">
        <is>
          <t>E001</t>
        </is>
      </c>
      <c r="B4" t="inlineStr">
        <is>
          <t>Mar</t>
        </is>
      </c>
      <c r="C4">
        <f>VLOOKUP(A4, Employees!$A$2:$E$21, 5, FALSE)</f>
        <v/>
      </c>
      <c r="D4">
        <f>VLOOKUP(A4, Attendance!$A$2:$D$61, 4, FALSE) * (C4/30/8)</f>
        <v/>
      </c>
      <c r="E4">
        <f>C4 + D4</f>
        <v/>
      </c>
      <c r="F4">
        <f>IF(E4&gt;15000, E4*0.2, IF(E4&gt;10000, E4*0.1, IF(E4&gt;5000, E4*0.05, 0)))</f>
        <v/>
      </c>
      <c r="G4">
        <f>E4 - F4</f>
        <v/>
      </c>
    </row>
    <row r="5">
      <c r="A5" t="inlineStr">
        <is>
          <t>E002</t>
        </is>
      </c>
      <c r="B5" t="inlineStr">
        <is>
          <t>Jan</t>
        </is>
      </c>
      <c r="C5">
        <f>VLOOKUP(A5, Employees!$A$2:$E$21, 5, FALSE)</f>
        <v/>
      </c>
      <c r="D5">
        <f>VLOOKUP(A5, Attendance!$A$2:$D$61, 4, FALSE) * (C5/30/8)</f>
        <v/>
      </c>
      <c r="E5">
        <f>C5 + D5</f>
        <v/>
      </c>
      <c r="F5">
        <f>IF(E5&gt;15000, E5*0.2, IF(E5&gt;10000, E5*0.1, IF(E5&gt;5000, E5*0.05, 0)))</f>
        <v/>
      </c>
      <c r="G5">
        <f>E5 - F5</f>
        <v/>
      </c>
    </row>
    <row r="6">
      <c r="A6" t="inlineStr">
        <is>
          <t>E002</t>
        </is>
      </c>
      <c r="B6" t="inlineStr">
        <is>
          <t>Feb</t>
        </is>
      </c>
      <c r="C6">
        <f>VLOOKUP(A6, Employees!$A$2:$E$21, 5, FALSE)</f>
        <v/>
      </c>
      <c r="D6">
        <f>VLOOKUP(A6, Attendance!$A$2:$D$61, 4, FALSE) * (C6/30/8)</f>
        <v/>
      </c>
      <c r="E6">
        <f>C6 + D6</f>
        <v/>
      </c>
      <c r="F6">
        <f>IF(E6&gt;15000, E6*0.2, IF(E6&gt;10000, E6*0.1, IF(E6&gt;5000, E6*0.05, 0)))</f>
        <v/>
      </c>
      <c r="G6">
        <f>E6 - F6</f>
        <v/>
      </c>
    </row>
    <row r="7">
      <c r="A7" t="inlineStr">
        <is>
          <t>E002</t>
        </is>
      </c>
      <c r="B7" t="inlineStr">
        <is>
          <t>Mar</t>
        </is>
      </c>
      <c r="C7">
        <f>VLOOKUP(A7, Employees!$A$2:$E$21, 5, FALSE)</f>
        <v/>
      </c>
      <c r="D7">
        <f>VLOOKUP(A7, Attendance!$A$2:$D$61, 4, FALSE) * (C7/30/8)</f>
        <v/>
      </c>
      <c r="E7">
        <f>C7 + D7</f>
        <v/>
      </c>
      <c r="F7">
        <f>IF(E7&gt;15000, E7*0.2, IF(E7&gt;10000, E7*0.1, IF(E7&gt;5000, E7*0.05, 0)))</f>
        <v/>
      </c>
      <c r="G7">
        <f>E7 - F7</f>
        <v/>
      </c>
    </row>
    <row r="8">
      <c r="A8" t="inlineStr">
        <is>
          <t>E003</t>
        </is>
      </c>
      <c r="B8" t="inlineStr">
        <is>
          <t>Jan</t>
        </is>
      </c>
      <c r="C8">
        <f>VLOOKUP(A8, Employees!$A$2:$E$21, 5, FALSE)</f>
        <v/>
      </c>
      <c r="D8">
        <f>VLOOKUP(A8, Attendance!$A$2:$D$61, 4, FALSE) * (C8/30/8)</f>
        <v/>
      </c>
      <c r="E8">
        <f>C8 + D8</f>
        <v/>
      </c>
      <c r="F8">
        <f>IF(E8&gt;15000, E8*0.2, IF(E8&gt;10000, E8*0.1, IF(E8&gt;5000, E8*0.05, 0)))</f>
        <v/>
      </c>
      <c r="G8">
        <f>E8 - F8</f>
        <v/>
      </c>
    </row>
    <row r="9">
      <c r="A9" t="inlineStr">
        <is>
          <t>E003</t>
        </is>
      </c>
      <c r="B9" t="inlineStr">
        <is>
          <t>Feb</t>
        </is>
      </c>
      <c r="C9">
        <f>VLOOKUP(A9, Employees!$A$2:$E$21, 5, FALSE)</f>
        <v/>
      </c>
      <c r="D9">
        <f>VLOOKUP(A9, Attendance!$A$2:$D$61, 4, FALSE) * (C9/30/8)</f>
        <v/>
      </c>
      <c r="E9">
        <f>C9 + D9</f>
        <v/>
      </c>
      <c r="F9">
        <f>IF(E9&gt;15000, E9*0.2, IF(E9&gt;10000, E9*0.1, IF(E9&gt;5000, E9*0.05, 0)))</f>
        <v/>
      </c>
      <c r="G9">
        <f>E9 - F9</f>
        <v/>
      </c>
    </row>
    <row r="10">
      <c r="A10" t="inlineStr">
        <is>
          <t>E003</t>
        </is>
      </c>
      <c r="B10" t="inlineStr">
        <is>
          <t>Mar</t>
        </is>
      </c>
      <c r="C10">
        <f>VLOOKUP(A10, Employees!$A$2:$E$21, 5, FALSE)</f>
        <v/>
      </c>
      <c r="D10">
        <f>VLOOKUP(A10, Attendance!$A$2:$D$61, 4, FALSE) * (C10/30/8)</f>
        <v/>
      </c>
      <c r="E10">
        <f>C10 + D10</f>
        <v/>
      </c>
      <c r="F10">
        <f>IF(E10&gt;15000, E10*0.2, IF(E10&gt;10000, E10*0.1, IF(E10&gt;5000, E10*0.05, 0)))</f>
        <v/>
      </c>
      <c r="G10">
        <f>E10 - F10</f>
        <v/>
      </c>
    </row>
    <row r="11">
      <c r="A11" t="inlineStr">
        <is>
          <t>E004</t>
        </is>
      </c>
      <c r="B11" t="inlineStr">
        <is>
          <t>Jan</t>
        </is>
      </c>
      <c r="C11">
        <f>VLOOKUP(A11, Employees!$A$2:$E$21, 5, FALSE)</f>
        <v/>
      </c>
      <c r="D11">
        <f>VLOOKUP(A11, Attendance!$A$2:$D$61, 4, FALSE) * (C11/30/8)</f>
        <v/>
      </c>
      <c r="E11">
        <f>C11 + D11</f>
        <v/>
      </c>
      <c r="F11">
        <f>IF(E11&gt;15000, E11*0.2, IF(E11&gt;10000, E11*0.1, IF(E11&gt;5000, E11*0.05, 0)))</f>
        <v/>
      </c>
      <c r="G11">
        <f>E11 - F11</f>
        <v/>
      </c>
    </row>
    <row r="12">
      <c r="A12" t="inlineStr">
        <is>
          <t>E004</t>
        </is>
      </c>
      <c r="B12" t="inlineStr">
        <is>
          <t>Feb</t>
        </is>
      </c>
      <c r="C12">
        <f>VLOOKUP(A12, Employees!$A$2:$E$21, 5, FALSE)</f>
        <v/>
      </c>
      <c r="D12">
        <f>VLOOKUP(A12, Attendance!$A$2:$D$61, 4, FALSE) * (C12/30/8)</f>
        <v/>
      </c>
      <c r="E12">
        <f>C12 + D12</f>
        <v/>
      </c>
      <c r="F12">
        <f>IF(E12&gt;15000, E12*0.2, IF(E12&gt;10000, E12*0.1, IF(E12&gt;5000, E12*0.05, 0)))</f>
        <v/>
      </c>
      <c r="G12">
        <f>E12 - F12</f>
        <v/>
      </c>
    </row>
    <row r="13">
      <c r="A13" t="inlineStr">
        <is>
          <t>E004</t>
        </is>
      </c>
      <c r="B13" t="inlineStr">
        <is>
          <t>Mar</t>
        </is>
      </c>
      <c r="C13">
        <f>VLOOKUP(A13, Employees!$A$2:$E$21, 5, FALSE)</f>
        <v/>
      </c>
      <c r="D13">
        <f>VLOOKUP(A13, Attendance!$A$2:$D$61, 4, FALSE) * (C13/30/8)</f>
        <v/>
      </c>
      <c r="E13">
        <f>C13 + D13</f>
        <v/>
      </c>
      <c r="F13">
        <f>IF(E13&gt;15000, E13*0.2, IF(E13&gt;10000, E13*0.1, IF(E13&gt;5000, E13*0.05, 0)))</f>
        <v/>
      </c>
      <c r="G13">
        <f>E13 - F13</f>
        <v/>
      </c>
    </row>
    <row r="14">
      <c r="A14" t="inlineStr">
        <is>
          <t>E005</t>
        </is>
      </c>
      <c r="B14" t="inlineStr">
        <is>
          <t>Jan</t>
        </is>
      </c>
      <c r="C14">
        <f>VLOOKUP(A14, Employees!$A$2:$E$21, 5, FALSE)</f>
        <v/>
      </c>
      <c r="D14">
        <f>VLOOKUP(A14, Attendance!$A$2:$D$61, 4, FALSE) * (C14/30/8)</f>
        <v/>
      </c>
      <c r="E14">
        <f>C14 + D14</f>
        <v/>
      </c>
      <c r="F14">
        <f>IF(E14&gt;15000, E14*0.2, IF(E14&gt;10000, E14*0.1, IF(E14&gt;5000, E14*0.05, 0)))</f>
        <v/>
      </c>
      <c r="G14">
        <f>E14 - F14</f>
        <v/>
      </c>
    </row>
    <row r="15">
      <c r="A15" t="inlineStr">
        <is>
          <t>E005</t>
        </is>
      </c>
      <c r="B15" t="inlineStr">
        <is>
          <t>Feb</t>
        </is>
      </c>
      <c r="C15">
        <f>VLOOKUP(A15, Employees!$A$2:$E$21, 5, FALSE)</f>
        <v/>
      </c>
      <c r="D15">
        <f>VLOOKUP(A15, Attendance!$A$2:$D$61, 4, FALSE) * (C15/30/8)</f>
        <v/>
      </c>
      <c r="E15">
        <f>C15 + D15</f>
        <v/>
      </c>
      <c r="F15">
        <f>IF(E15&gt;15000, E15*0.2, IF(E15&gt;10000, E15*0.1, IF(E15&gt;5000, E15*0.05, 0)))</f>
        <v/>
      </c>
      <c r="G15">
        <f>E15 - F15</f>
        <v/>
      </c>
    </row>
    <row r="16">
      <c r="A16" t="inlineStr">
        <is>
          <t>E005</t>
        </is>
      </c>
      <c r="B16" t="inlineStr">
        <is>
          <t>Mar</t>
        </is>
      </c>
      <c r="C16">
        <f>VLOOKUP(A16, Employees!$A$2:$E$21, 5, FALSE)</f>
        <v/>
      </c>
      <c r="D16">
        <f>VLOOKUP(A16, Attendance!$A$2:$D$61, 4, FALSE) * (C16/30/8)</f>
        <v/>
      </c>
      <c r="E16">
        <f>C16 + D16</f>
        <v/>
      </c>
      <c r="F16">
        <f>IF(E16&gt;15000, E16*0.2, IF(E16&gt;10000, E16*0.1, IF(E16&gt;5000, E16*0.05, 0)))</f>
        <v/>
      </c>
      <c r="G16">
        <f>E16 - F16</f>
        <v/>
      </c>
    </row>
    <row r="17">
      <c r="A17" t="inlineStr">
        <is>
          <t>E006</t>
        </is>
      </c>
      <c r="B17" t="inlineStr">
        <is>
          <t>Jan</t>
        </is>
      </c>
      <c r="C17">
        <f>VLOOKUP(A17, Employees!$A$2:$E$21, 5, FALSE)</f>
        <v/>
      </c>
      <c r="D17">
        <f>VLOOKUP(A17, Attendance!$A$2:$D$61, 4, FALSE) * (C17/30/8)</f>
        <v/>
      </c>
      <c r="E17">
        <f>C17 + D17</f>
        <v/>
      </c>
      <c r="F17">
        <f>IF(E17&gt;15000, E17*0.2, IF(E17&gt;10000, E17*0.1, IF(E17&gt;5000, E17*0.05, 0)))</f>
        <v/>
      </c>
      <c r="G17">
        <f>E17 - F17</f>
        <v/>
      </c>
    </row>
    <row r="18">
      <c r="A18" t="inlineStr">
        <is>
          <t>E006</t>
        </is>
      </c>
      <c r="B18" t="inlineStr">
        <is>
          <t>Feb</t>
        </is>
      </c>
      <c r="C18">
        <f>VLOOKUP(A18, Employees!$A$2:$E$21, 5, FALSE)</f>
        <v/>
      </c>
      <c r="D18">
        <f>VLOOKUP(A18, Attendance!$A$2:$D$61, 4, FALSE) * (C18/30/8)</f>
        <v/>
      </c>
      <c r="E18">
        <f>C18 + D18</f>
        <v/>
      </c>
      <c r="F18">
        <f>IF(E18&gt;15000, E18*0.2, IF(E18&gt;10000, E18*0.1, IF(E18&gt;5000, E18*0.05, 0)))</f>
        <v/>
      </c>
      <c r="G18">
        <f>E18 - F18</f>
        <v/>
      </c>
    </row>
    <row r="19">
      <c r="A19" t="inlineStr">
        <is>
          <t>E006</t>
        </is>
      </c>
      <c r="B19" t="inlineStr">
        <is>
          <t>Mar</t>
        </is>
      </c>
      <c r="C19">
        <f>VLOOKUP(A19, Employees!$A$2:$E$21, 5, FALSE)</f>
        <v/>
      </c>
      <c r="D19">
        <f>VLOOKUP(A19, Attendance!$A$2:$D$61, 4, FALSE) * (C19/30/8)</f>
        <v/>
      </c>
      <c r="E19">
        <f>C19 + D19</f>
        <v/>
      </c>
      <c r="F19">
        <f>IF(E19&gt;15000, E19*0.2, IF(E19&gt;10000, E19*0.1, IF(E19&gt;5000, E19*0.05, 0)))</f>
        <v/>
      </c>
      <c r="G19">
        <f>E19 - F19</f>
        <v/>
      </c>
    </row>
    <row r="20">
      <c r="A20" t="inlineStr">
        <is>
          <t>E007</t>
        </is>
      </c>
      <c r="B20" t="inlineStr">
        <is>
          <t>Jan</t>
        </is>
      </c>
      <c r="C20">
        <f>VLOOKUP(A20, Employees!$A$2:$E$21, 5, FALSE)</f>
        <v/>
      </c>
      <c r="D20">
        <f>VLOOKUP(A20, Attendance!$A$2:$D$61, 4, FALSE) * (C20/30/8)</f>
        <v/>
      </c>
      <c r="E20">
        <f>C20 + D20</f>
        <v/>
      </c>
      <c r="F20">
        <f>IF(E20&gt;15000, E20*0.2, IF(E20&gt;10000, E20*0.1, IF(E20&gt;5000, E20*0.05, 0)))</f>
        <v/>
      </c>
      <c r="G20">
        <f>E20 - F20</f>
        <v/>
      </c>
    </row>
    <row r="21">
      <c r="A21" t="inlineStr">
        <is>
          <t>E007</t>
        </is>
      </c>
      <c r="B21" t="inlineStr">
        <is>
          <t>Feb</t>
        </is>
      </c>
      <c r="C21">
        <f>VLOOKUP(A21, Employees!$A$2:$E$21, 5, FALSE)</f>
        <v/>
      </c>
      <c r="D21">
        <f>VLOOKUP(A21, Attendance!$A$2:$D$61, 4, FALSE) * (C21/30/8)</f>
        <v/>
      </c>
      <c r="E21">
        <f>C21 + D21</f>
        <v/>
      </c>
      <c r="F21">
        <f>IF(E21&gt;15000, E21*0.2, IF(E21&gt;10000, E21*0.1, IF(E21&gt;5000, E21*0.05, 0)))</f>
        <v/>
      </c>
      <c r="G21">
        <f>E21 - F21</f>
        <v/>
      </c>
    </row>
    <row r="22">
      <c r="A22" t="inlineStr">
        <is>
          <t>E007</t>
        </is>
      </c>
      <c r="B22" t="inlineStr">
        <is>
          <t>Mar</t>
        </is>
      </c>
      <c r="C22">
        <f>VLOOKUP(A22, Employees!$A$2:$E$21, 5, FALSE)</f>
        <v/>
      </c>
      <c r="D22">
        <f>VLOOKUP(A22, Attendance!$A$2:$D$61, 4, FALSE) * (C22/30/8)</f>
        <v/>
      </c>
      <c r="E22">
        <f>C22 + D22</f>
        <v/>
      </c>
      <c r="F22">
        <f>IF(E22&gt;15000, E22*0.2, IF(E22&gt;10000, E22*0.1, IF(E22&gt;5000, E22*0.05, 0)))</f>
        <v/>
      </c>
      <c r="G22">
        <f>E22 - F22</f>
        <v/>
      </c>
    </row>
    <row r="23">
      <c r="A23" t="inlineStr">
        <is>
          <t>E008</t>
        </is>
      </c>
      <c r="B23" t="inlineStr">
        <is>
          <t>Jan</t>
        </is>
      </c>
      <c r="C23">
        <f>VLOOKUP(A23, Employees!$A$2:$E$21, 5, FALSE)</f>
        <v/>
      </c>
      <c r="D23">
        <f>VLOOKUP(A23, Attendance!$A$2:$D$61, 4, FALSE) * (C23/30/8)</f>
        <v/>
      </c>
      <c r="E23">
        <f>C23 + D23</f>
        <v/>
      </c>
      <c r="F23">
        <f>IF(E23&gt;15000, E23*0.2, IF(E23&gt;10000, E23*0.1, IF(E23&gt;5000, E23*0.05, 0)))</f>
        <v/>
      </c>
      <c r="G23">
        <f>E23 - F23</f>
        <v/>
      </c>
    </row>
    <row r="24">
      <c r="A24" t="inlineStr">
        <is>
          <t>E008</t>
        </is>
      </c>
      <c r="B24" t="inlineStr">
        <is>
          <t>Feb</t>
        </is>
      </c>
      <c r="C24">
        <f>VLOOKUP(A24, Employees!$A$2:$E$21, 5, FALSE)</f>
        <v/>
      </c>
      <c r="D24">
        <f>VLOOKUP(A24, Attendance!$A$2:$D$61, 4, FALSE) * (C24/30/8)</f>
        <v/>
      </c>
      <c r="E24">
        <f>C24 + D24</f>
        <v/>
      </c>
      <c r="F24">
        <f>IF(E24&gt;15000, E24*0.2, IF(E24&gt;10000, E24*0.1, IF(E24&gt;5000, E24*0.05, 0)))</f>
        <v/>
      </c>
      <c r="G24">
        <f>E24 - F24</f>
        <v/>
      </c>
    </row>
    <row r="25">
      <c r="A25" t="inlineStr">
        <is>
          <t>E008</t>
        </is>
      </c>
      <c r="B25" t="inlineStr">
        <is>
          <t>Mar</t>
        </is>
      </c>
      <c r="C25">
        <f>VLOOKUP(A25, Employees!$A$2:$E$21, 5, FALSE)</f>
        <v/>
      </c>
      <c r="D25">
        <f>VLOOKUP(A25, Attendance!$A$2:$D$61, 4, FALSE) * (C25/30/8)</f>
        <v/>
      </c>
      <c r="E25">
        <f>C25 + D25</f>
        <v/>
      </c>
      <c r="F25">
        <f>IF(E25&gt;15000, E25*0.2, IF(E25&gt;10000, E25*0.1, IF(E25&gt;5000, E25*0.05, 0)))</f>
        <v/>
      </c>
      <c r="G25">
        <f>E25 - F25</f>
        <v/>
      </c>
    </row>
    <row r="26">
      <c r="A26" t="inlineStr">
        <is>
          <t>E009</t>
        </is>
      </c>
      <c r="B26" t="inlineStr">
        <is>
          <t>Jan</t>
        </is>
      </c>
      <c r="C26">
        <f>VLOOKUP(A26, Employees!$A$2:$E$21, 5, FALSE)</f>
        <v/>
      </c>
      <c r="D26">
        <f>VLOOKUP(A26, Attendance!$A$2:$D$61, 4, FALSE) * (C26/30/8)</f>
        <v/>
      </c>
      <c r="E26">
        <f>C26 + D26</f>
        <v/>
      </c>
      <c r="F26">
        <f>IF(E26&gt;15000, E26*0.2, IF(E26&gt;10000, E26*0.1, IF(E26&gt;5000, E26*0.05, 0)))</f>
        <v/>
      </c>
      <c r="G26">
        <f>E26 - F26</f>
        <v/>
      </c>
    </row>
    <row r="27">
      <c r="A27" t="inlineStr">
        <is>
          <t>E009</t>
        </is>
      </c>
      <c r="B27" t="inlineStr">
        <is>
          <t>Feb</t>
        </is>
      </c>
      <c r="C27">
        <f>VLOOKUP(A27, Employees!$A$2:$E$21, 5, FALSE)</f>
        <v/>
      </c>
      <c r="D27">
        <f>VLOOKUP(A27, Attendance!$A$2:$D$61, 4, FALSE) * (C27/30/8)</f>
        <v/>
      </c>
      <c r="E27">
        <f>C27 + D27</f>
        <v/>
      </c>
      <c r="F27">
        <f>IF(E27&gt;15000, E27*0.2, IF(E27&gt;10000, E27*0.1, IF(E27&gt;5000, E27*0.05, 0)))</f>
        <v/>
      </c>
      <c r="G27">
        <f>E27 - F27</f>
        <v/>
      </c>
    </row>
    <row r="28">
      <c r="A28" t="inlineStr">
        <is>
          <t>E009</t>
        </is>
      </c>
      <c r="B28" t="inlineStr">
        <is>
          <t>Mar</t>
        </is>
      </c>
      <c r="C28">
        <f>VLOOKUP(A28, Employees!$A$2:$E$21, 5, FALSE)</f>
        <v/>
      </c>
      <c r="D28">
        <f>VLOOKUP(A28, Attendance!$A$2:$D$61, 4, FALSE) * (C28/30/8)</f>
        <v/>
      </c>
      <c r="E28">
        <f>C28 + D28</f>
        <v/>
      </c>
      <c r="F28">
        <f>IF(E28&gt;15000, E28*0.2, IF(E28&gt;10000, E28*0.1, IF(E28&gt;5000, E28*0.05, 0)))</f>
        <v/>
      </c>
      <c r="G28">
        <f>E28 - F28</f>
        <v/>
      </c>
    </row>
    <row r="29">
      <c r="A29" t="inlineStr">
        <is>
          <t>E010</t>
        </is>
      </c>
      <c r="B29" t="inlineStr">
        <is>
          <t>Jan</t>
        </is>
      </c>
      <c r="C29">
        <f>VLOOKUP(A29, Employees!$A$2:$E$21, 5, FALSE)</f>
        <v/>
      </c>
      <c r="D29">
        <f>VLOOKUP(A29, Attendance!$A$2:$D$61, 4, FALSE) * (C29/30/8)</f>
        <v/>
      </c>
      <c r="E29">
        <f>C29 + D29</f>
        <v/>
      </c>
      <c r="F29">
        <f>IF(E29&gt;15000, E29*0.2, IF(E29&gt;10000, E29*0.1, IF(E29&gt;5000, E29*0.05, 0)))</f>
        <v/>
      </c>
      <c r="G29">
        <f>E29 - F29</f>
        <v/>
      </c>
    </row>
    <row r="30">
      <c r="A30" t="inlineStr">
        <is>
          <t>E010</t>
        </is>
      </c>
      <c r="B30" t="inlineStr">
        <is>
          <t>Feb</t>
        </is>
      </c>
      <c r="C30">
        <f>VLOOKUP(A30, Employees!$A$2:$E$21, 5, FALSE)</f>
        <v/>
      </c>
      <c r="D30">
        <f>VLOOKUP(A30, Attendance!$A$2:$D$61, 4, FALSE) * (C30/30/8)</f>
        <v/>
      </c>
      <c r="E30">
        <f>C30 + D30</f>
        <v/>
      </c>
      <c r="F30">
        <f>IF(E30&gt;15000, E30*0.2, IF(E30&gt;10000, E30*0.1, IF(E30&gt;5000, E30*0.05, 0)))</f>
        <v/>
      </c>
      <c r="G30">
        <f>E30 - F30</f>
        <v/>
      </c>
    </row>
    <row r="31">
      <c r="A31" t="inlineStr">
        <is>
          <t>E010</t>
        </is>
      </c>
      <c r="B31" t="inlineStr">
        <is>
          <t>Mar</t>
        </is>
      </c>
      <c r="C31">
        <f>VLOOKUP(A31, Employees!$A$2:$E$21, 5, FALSE)</f>
        <v/>
      </c>
      <c r="D31">
        <f>VLOOKUP(A31, Attendance!$A$2:$D$61, 4, FALSE) * (C31/30/8)</f>
        <v/>
      </c>
      <c r="E31">
        <f>C31 + D31</f>
        <v/>
      </c>
      <c r="F31">
        <f>IF(E31&gt;15000, E31*0.2, IF(E31&gt;10000, E31*0.1, IF(E31&gt;5000, E31*0.05, 0)))</f>
        <v/>
      </c>
      <c r="G31">
        <f>E31 - F31</f>
        <v/>
      </c>
    </row>
    <row r="32">
      <c r="A32" t="inlineStr">
        <is>
          <t>E011</t>
        </is>
      </c>
      <c r="B32" t="inlineStr">
        <is>
          <t>Jan</t>
        </is>
      </c>
      <c r="C32">
        <f>VLOOKUP(A32, Employees!$A$2:$E$21, 5, FALSE)</f>
        <v/>
      </c>
      <c r="D32">
        <f>VLOOKUP(A32, Attendance!$A$2:$D$61, 4, FALSE) * (C32/30/8)</f>
        <v/>
      </c>
      <c r="E32">
        <f>C32 + D32</f>
        <v/>
      </c>
      <c r="F32">
        <f>IF(E32&gt;15000, E32*0.2, IF(E32&gt;10000, E32*0.1, IF(E32&gt;5000, E32*0.05, 0)))</f>
        <v/>
      </c>
      <c r="G32">
        <f>E32 - F32</f>
        <v/>
      </c>
    </row>
    <row r="33">
      <c r="A33" t="inlineStr">
        <is>
          <t>E011</t>
        </is>
      </c>
      <c r="B33" t="inlineStr">
        <is>
          <t>Feb</t>
        </is>
      </c>
      <c r="C33">
        <f>VLOOKUP(A33, Employees!$A$2:$E$21, 5, FALSE)</f>
        <v/>
      </c>
      <c r="D33">
        <f>VLOOKUP(A33, Attendance!$A$2:$D$61, 4, FALSE) * (C33/30/8)</f>
        <v/>
      </c>
      <c r="E33">
        <f>C33 + D33</f>
        <v/>
      </c>
      <c r="F33">
        <f>IF(E33&gt;15000, E33*0.2, IF(E33&gt;10000, E33*0.1, IF(E33&gt;5000, E33*0.05, 0)))</f>
        <v/>
      </c>
      <c r="G33">
        <f>E33 - F33</f>
        <v/>
      </c>
    </row>
    <row r="34">
      <c r="A34" t="inlineStr">
        <is>
          <t>E011</t>
        </is>
      </c>
      <c r="B34" t="inlineStr">
        <is>
          <t>Mar</t>
        </is>
      </c>
      <c r="C34">
        <f>VLOOKUP(A34, Employees!$A$2:$E$21, 5, FALSE)</f>
        <v/>
      </c>
      <c r="D34">
        <f>VLOOKUP(A34, Attendance!$A$2:$D$61, 4, FALSE) * (C34/30/8)</f>
        <v/>
      </c>
      <c r="E34">
        <f>C34 + D34</f>
        <v/>
      </c>
      <c r="F34">
        <f>IF(E34&gt;15000, E34*0.2, IF(E34&gt;10000, E34*0.1, IF(E34&gt;5000, E34*0.05, 0)))</f>
        <v/>
      </c>
      <c r="G34">
        <f>E34 - F34</f>
        <v/>
      </c>
    </row>
    <row r="35">
      <c r="A35" t="inlineStr">
        <is>
          <t>E012</t>
        </is>
      </c>
      <c r="B35" t="inlineStr">
        <is>
          <t>Jan</t>
        </is>
      </c>
      <c r="C35">
        <f>VLOOKUP(A35, Employees!$A$2:$E$21, 5, FALSE)</f>
        <v/>
      </c>
      <c r="D35">
        <f>VLOOKUP(A35, Attendance!$A$2:$D$61, 4, FALSE) * (C35/30/8)</f>
        <v/>
      </c>
      <c r="E35">
        <f>C35 + D35</f>
        <v/>
      </c>
      <c r="F35">
        <f>IF(E35&gt;15000, E35*0.2, IF(E35&gt;10000, E35*0.1, IF(E35&gt;5000, E35*0.05, 0)))</f>
        <v/>
      </c>
      <c r="G35">
        <f>E35 - F35</f>
        <v/>
      </c>
    </row>
    <row r="36">
      <c r="A36" t="inlineStr">
        <is>
          <t>E012</t>
        </is>
      </c>
      <c r="B36" t="inlineStr">
        <is>
          <t>Feb</t>
        </is>
      </c>
      <c r="C36">
        <f>VLOOKUP(A36, Employees!$A$2:$E$21, 5, FALSE)</f>
        <v/>
      </c>
      <c r="D36">
        <f>VLOOKUP(A36, Attendance!$A$2:$D$61, 4, FALSE) * (C36/30/8)</f>
        <v/>
      </c>
      <c r="E36">
        <f>C36 + D36</f>
        <v/>
      </c>
      <c r="F36">
        <f>IF(E36&gt;15000, E36*0.2, IF(E36&gt;10000, E36*0.1, IF(E36&gt;5000, E36*0.05, 0)))</f>
        <v/>
      </c>
      <c r="G36">
        <f>E36 - F36</f>
        <v/>
      </c>
    </row>
    <row r="37">
      <c r="A37" t="inlineStr">
        <is>
          <t>E012</t>
        </is>
      </c>
      <c r="B37" t="inlineStr">
        <is>
          <t>Mar</t>
        </is>
      </c>
      <c r="C37">
        <f>VLOOKUP(A37, Employees!$A$2:$E$21, 5, FALSE)</f>
        <v/>
      </c>
      <c r="D37">
        <f>VLOOKUP(A37, Attendance!$A$2:$D$61, 4, FALSE) * (C37/30/8)</f>
        <v/>
      </c>
      <c r="E37">
        <f>C37 + D37</f>
        <v/>
      </c>
      <c r="F37">
        <f>IF(E37&gt;15000, E37*0.2, IF(E37&gt;10000, E37*0.1, IF(E37&gt;5000, E37*0.05, 0)))</f>
        <v/>
      </c>
      <c r="G37">
        <f>E37 - F37</f>
        <v/>
      </c>
    </row>
    <row r="38">
      <c r="A38" t="inlineStr">
        <is>
          <t>E013</t>
        </is>
      </c>
      <c r="B38" t="inlineStr">
        <is>
          <t>Jan</t>
        </is>
      </c>
      <c r="C38">
        <f>VLOOKUP(A38, Employees!$A$2:$E$21, 5, FALSE)</f>
        <v/>
      </c>
      <c r="D38">
        <f>VLOOKUP(A38, Attendance!$A$2:$D$61, 4, FALSE) * (C38/30/8)</f>
        <v/>
      </c>
      <c r="E38">
        <f>C38 + D38</f>
        <v/>
      </c>
      <c r="F38">
        <f>IF(E38&gt;15000, E38*0.2, IF(E38&gt;10000, E38*0.1, IF(E38&gt;5000, E38*0.05, 0)))</f>
        <v/>
      </c>
      <c r="G38">
        <f>E38 - F38</f>
        <v/>
      </c>
    </row>
    <row r="39">
      <c r="A39" t="inlineStr">
        <is>
          <t>E013</t>
        </is>
      </c>
      <c r="B39" t="inlineStr">
        <is>
          <t>Feb</t>
        </is>
      </c>
      <c r="C39">
        <f>VLOOKUP(A39, Employees!$A$2:$E$21, 5, FALSE)</f>
        <v/>
      </c>
      <c r="D39">
        <f>VLOOKUP(A39, Attendance!$A$2:$D$61, 4, FALSE) * (C39/30/8)</f>
        <v/>
      </c>
      <c r="E39">
        <f>C39 + D39</f>
        <v/>
      </c>
      <c r="F39">
        <f>IF(E39&gt;15000, E39*0.2, IF(E39&gt;10000, E39*0.1, IF(E39&gt;5000, E39*0.05, 0)))</f>
        <v/>
      </c>
      <c r="G39">
        <f>E39 - F39</f>
        <v/>
      </c>
    </row>
    <row r="40">
      <c r="A40" t="inlineStr">
        <is>
          <t>E013</t>
        </is>
      </c>
      <c r="B40" t="inlineStr">
        <is>
          <t>Mar</t>
        </is>
      </c>
      <c r="C40">
        <f>VLOOKUP(A40, Employees!$A$2:$E$21, 5, FALSE)</f>
        <v/>
      </c>
      <c r="D40">
        <f>VLOOKUP(A40, Attendance!$A$2:$D$61, 4, FALSE) * (C40/30/8)</f>
        <v/>
      </c>
      <c r="E40">
        <f>C40 + D40</f>
        <v/>
      </c>
      <c r="F40">
        <f>IF(E40&gt;15000, E40*0.2, IF(E40&gt;10000, E40*0.1, IF(E40&gt;5000, E40*0.05, 0)))</f>
        <v/>
      </c>
      <c r="G40">
        <f>E40 - F40</f>
        <v/>
      </c>
    </row>
    <row r="41">
      <c r="A41" t="inlineStr">
        <is>
          <t>E014</t>
        </is>
      </c>
      <c r="B41" t="inlineStr">
        <is>
          <t>Jan</t>
        </is>
      </c>
      <c r="C41">
        <f>VLOOKUP(A41, Employees!$A$2:$E$21, 5, FALSE)</f>
        <v/>
      </c>
      <c r="D41">
        <f>VLOOKUP(A41, Attendance!$A$2:$D$61, 4, FALSE) * (C41/30/8)</f>
        <v/>
      </c>
      <c r="E41">
        <f>C41 + D41</f>
        <v/>
      </c>
      <c r="F41">
        <f>IF(E41&gt;15000, E41*0.2, IF(E41&gt;10000, E41*0.1, IF(E41&gt;5000, E41*0.05, 0)))</f>
        <v/>
      </c>
      <c r="G41">
        <f>E41 - F41</f>
        <v/>
      </c>
    </row>
    <row r="42">
      <c r="A42" t="inlineStr">
        <is>
          <t>E014</t>
        </is>
      </c>
      <c r="B42" t="inlineStr">
        <is>
          <t>Feb</t>
        </is>
      </c>
      <c r="C42">
        <f>VLOOKUP(A42, Employees!$A$2:$E$21, 5, FALSE)</f>
        <v/>
      </c>
      <c r="D42">
        <f>VLOOKUP(A42, Attendance!$A$2:$D$61, 4, FALSE) * (C42/30/8)</f>
        <v/>
      </c>
      <c r="E42">
        <f>C42 + D42</f>
        <v/>
      </c>
      <c r="F42">
        <f>IF(E42&gt;15000, E42*0.2, IF(E42&gt;10000, E42*0.1, IF(E42&gt;5000, E42*0.05, 0)))</f>
        <v/>
      </c>
      <c r="G42">
        <f>E42 - F42</f>
        <v/>
      </c>
    </row>
    <row r="43">
      <c r="A43" t="inlineStr">
        <is>
          <t>E014</t>
        </is>
      </c>
      <c r="B43" t="inlineStr">
        <is>
          <t>Mar</t>
        </is>
      </c>
      <c r="C43">
        <f>VLOOKUP(A43, Employees!$A$2:$E$21, 5, FALSE)</f>
        <v/>
      </c>
      <c r="D43">
        <f>VLOOKUP(A43, Attendance!$A$2:$D$61, 4, FALSE) * (C43/30/8)</f>
        <v/>
      </c>
      <c r="E43">
        <f>C43 + D43</f>
        <v/>
      </c>
      <c r="F43">
        <f>IF(E43&gt;15000, E43*0.2, IF(E43&gt;10000, E43*0.1, IF(E43&gt;5000, E43*0.05, 0)))</f>
        <v/>
      </c>
      <c r="G43">
        <f>E43 - F43</f>
        <v/>
      </c>
    </row>
    <row r="44">
      <c r="A44" t="inlineStr">
        <is>
          <t>E015</t>
        </is>
      </c>
      <c r="B44" t="inlineStr">
        <is>
          <t>Jan</t>
        </is>
      </c>
      <c r="C44">
        <f>VLOOKUP(A44, Employees!$A$2:$E$21, 5, FALSE)</f>
        <v/>
      </c>
      <c r="D44">
        <f>VLOOKUP(A44, Attendance!$A$2:$D$61, 4, FALSE) * (C44/30/8)</f>
        <v/>
      </c>
      <c r="E44">
        <f>C44 + D44</f>
        <v/>
      </c>
      <c r="F44">
        <f>IF(E44&gt;15000, E44*0.2, IF(E44&gt;10000, E44*0.1, IF(E44&gt;5000, E44*0.05, 0)))</f>
        <v/>
      </c>
      <c r="G44">
        <f>E44 - F44</f>
        <v/>
      </c>
    </row>
    <row r="45">
      <c r="A45" t="inlineStr">
        <is>
          <t>E015</t>
        </is>
      </c>
      <c r="B45" t="inlineStr">
        <is>
          <t>Feb</t>
        </is>
      </c>
      <c r="C45">
        <f>VLOOKUP(A45, Employees!$A$2:$E$21, 5, FALSE)</f>
        <v/>
      </c>
      <c r="D45">
        <f>VLOOKUP(A45, Attendance!$A$2:$D$61, 4, FALSE) * (C45/30/8)</f>
        <v/>
      </c>
      <c r="E45">
        <f>C45 + D45</f>
        <v/>
      </c>
      <c r="F45">
        <f>IF(E45&gt;15000, E45*0.2, IF(E45&gt;10000, E45*0.1, IF(E45&gt;5000, E45*0.05, 0)))</f>
        <v/>
      </c>
      <c r="G45">
        <f>E45 - F45</f>
        <v/>
      </c>
    </row>
    <row r="46">
      <c r="A46" t="inlineStr">
        <is>
          <t>E015</t>
        </is>
      </c>
      <c r="B46" t="inlineStr">
        <is>
          <t>Mar</t>
        </is>
      </c>
      <c r="C46">
        <f>VLOOKUP(A46, Employees!$A$2:$E$21, 5, FALSE)</f>
        <v/>
      </c>
      <c r="D46">
        <f>VLOOKUP(A46, Attendance!$A$2:$D$61, 4, FALSE) * (C46/30/8)</f>
        <v/>
      </c>
      <c r="E46">
        <f>C46 + D46</f>
        <v/>
      </c>
      <c r="F46">
        <f>IF(E46&gt;15000, E46*0.2, IF(E46&gt;10000, E46*0.1, IF(E46&gt;5000, E46*0.05, 0)))</f>
        <v/>
      </c>
      <c r="G46">
        <f>E46 - F46</f>
        <v/>
      </c>
    </row>
    <row r="47">
      <c r="A47" t="inlineStr">
        <is>
          <t>E016</t>
        </is>
      </c>
      <c r="B47" t="inlineStr">
        <is>
          <t>Jan</t>
        </is>
      </c>
      <c r="C47">
        <f>VLOOKUP(A47, Employees!$A$2:$E$21, 5, FALSE)</f>
        <v/>
      </c>
      <c r="D47">
        <f>VLOOKUP(A47, Attendance!$A$2:$D$61, 4, FALSE) * (C47/30/8)</f>
        <v/>
      </c>
      <c r="E47">
        <f>C47 + D47</f>
        <v/>
      </c>
      <c r="F47">
        <f>IF(E47&gt;15000, E47*0.2, IF(E47&gt;10000, E47*0.1, IF(E47&gt;5000, E47*0.05, 0)))</f>
        <v/>
      </c>
      <c r="G47">
        <f>E47 - F47</f>
        <v/>
      </c>
    </row>
    <row r="48">
      <c r="A48" t="inlineStr">
        <is>
          <t>E016</t>
        </is>
      </c>
      <c r="B48" t="inlineStr">
        <is>
          <t>Feb</t>
        </is>
      </c>
      <c r="C48">
        <f>VLOOKUP(A48, Employees!$A$2:$E$21, 5, FALSE)</f>
        <v/>
      </c>
      <c r="D48">
        <f>VLOOKUP(A48, Attendance!$A$2:$D$61, 4, FALSE) * (C48/30/8)</f>
        <v/>
      </c>
      <c r="E48">
        <f>C48 + D48</f>
        <v/>
      </c>
      <c r="F48">
        <f>IF(E48&gt;15000, E48*0.2, IF(E48&gt;10000, E48*0.1, IF(E48&gt;5000, E48*0.05, 0)))</f>
        <v/>
      </c>
      <c r="G48">
        <f>E48 - F48</f>
        <v/>
      </c>
    </row>
    <row r="49">
      <c r="A49" t="inlineStr">
        <is>
          <t>E016</t>
        </is>
      </c>
      <c r="B49" t="inlineStr">
        <is>
          <t>Mar</t>
        </is>
      </c>
      <c r="C49">
        <f>VLOOKUP(A49, Employees!$A$2:$E$21, 5, FALSE)</f>
        <v/>
      </c>
      <c r="D49">
        <f>VLOOKUP(A49, Attendance!$A$2:$D$61, 4, FALSE) * (C49/30/8)</f>
        <v/>
      </c>
      <c r="E49">
        <f>C49 + D49</f>
        <v/>
      </c>
      <c r="F49">
        <f>IF(E49&gt;15000, E49*0.2, IF(E49&gt;10000, E49*0.1, IF(E49&gt;5000, E49*0.05, 0)))</f>
        <v/>
      </c>
      <c r="G49">
        <f>E49 - F49</f>
        <v/>
      </c>
    </row>
    <row r="50">
      <c r="A50" t="inlineStr">
        <is>
          <t>E017</t>
        </is>
      </c>
      <c r="B50" t="inlineStr">
        <is>
          <t>Jan</t>
        </is>
      </c>
      <c r="C50">
        <f>VLOOKUP(A50, Employees!$A$2:$E$21, 5, FALSE)</f>
        <v/>
      </c>
      <c r="D50">
        <f>VLOOKUP(A50, Attendance!$A$2:$D$61, 4, FALSE) * (C50/30/8)</f>
        <v/>
      </c>
      <c r="E50">
        <f>C50 + D50</f>
        <v/>
      </c>
      <c r="F50">
        <f>IF(E50&gt;15000, E50*0.2, IF(E50&gt;10000, E50*0.1, IF(E50&gt;5000, E50*0.05, 0)))</f>
        <v/>
      </c>
      <c r="G50">
        <f>E50 - F50</f>
        <v/>
      </c>
    </row>
    <row r="51">
      <c r="A51" t="inlineStr">
        <is>
          <t>E017</t>
        </is>
      </c>
      <c r="B51" t="inlineStr">
        <is>
          <t>Feb</t>
        </is>
      </c>
      <c r="C51">
        <f>VLOOKUP(A51, Employees!$A$2:$E$21, 5, FALSE)</f>
        <v/>
      </c>
      <c r="D51">
        <f>VLOOKUP(A51, Attendance!$A$2:$D$61, 4, FALSE) * (C51/30/8)</f>
        <v/>
      </c>
      <c r="E51">
        <f>C51 + D51</f>
        <v/>
      </c>
      <c r="F51">
        <f>IF(E51&gt;15000, E51*0.2, IF(E51&gt;10000, E51*0.1, IF(E51&gt;5000, E51*0.05, 0)))</f>
        <v/>
      </c>
      <c r="G51">
        <f>E51 - F51</f>
        <v/>
      </c>
    </row>
    <row r="52">
      <c r="A52" t="inlineStr">
        <is>
          <t>E017</t>
        </is>
      </c>
      <c r="B52" t="inlineStr">
        <is>
          <t>Mar</t>
        </is>
      </c>
      <c r="C52">
        <f>VLOOKUP(A52, Employees!$A$2:$E$21, 5, FALSE)</f>
        <v/>
      </c>
      <c r="D52">
        <f>VLOOKUP(A52, Attendance!$A$2:$D$61, 4, FALSE) * (C52/30/8)</f>
        <v/>
      </c>
      <c r="E52">
        <f>C52 + D52</f>
        <v/>
      </c>
      <c r="F52">
        <f>IF(E52&gt;15000, E52*0.2, IF(E52&gt;10000, E52*0.1, IF(E52&gt;5000, E52*0.05, 0)))</f>
        <v/>
      </c>
      <c r="G52">
        <f>E52 - F52</f>
        <v/>
      </c>
    </row>
    <row r="53">
      <c r="A53" t="inlineStr">
        <is>
          <t>E018</t>
        </is>
      </c>
      <c r="B53" t="inlineStr">
        <is>
          <t>Jan</t>
        </is>
      </c>
      <c r="C53">
        <f>VLOOKUP(A53, Employees!$A$2:$E$21, 5, FALSE)</f>
        <v/>
      </c>
      <c r="D53">
        <f>VLOOKUP(A53, Attendance!$A$2:$D$61, 4, FALSE) * (C53/30/8)</f>
        <v/>
      </c>
      <c r="E53">
        <f>C53 + D53</f>
        <v/>
      </c>
      <c r="F53">
        <f>IF(E53&gt;15000, E53*0.2, IF(E53&gt;10000, E53*0.1, IF(E53&gt;5000, E53*0.05, 0)))</f>
        <v/>
      </c>
      <c r="G53">
        <f>E53 - F53</f>
        <v/>
      </c>
    </row>
    <row r="54">
      <c r="A54" t="inlineStr">
        <is>
          <t>E018</t>
        </is>
      </c>
      <c r="B54" t="inlineStr">
        <is>
          <t>Feb</t>
        </is>
      </c>
      <c r="C54">
        <f>VLOOKUP(A54, Employees!$A$2:$E$21, 5, FALSE)</f>
        <v/>
      </c>
      <c r="D54">
        <f>VLOOKUP(A54, Attendance!$A$2:$D$61, 4, FALSE) * (C54/30/8)</f>
        <v/>
      </c>
      <c r="E54">
        <f>C54 + D54</f>
        <v/>
      </c>
      <c r="F54">
        <f>IF(E54&gt;15000, E54*0.2, IF(E54&gt;10000, E54*0.1, IF(E54&gt;5000, E54*0.05, 0)))</f>
        <v/>
      </c>
      <c r="G54">
        <f>E54 - F54</f>
        <v/>
      </c>
    </row>
    <row r="55">
      <c r="A55" t="inlineStr">
        <is>
          <t>E018</t>
        </is>
      </c>
      <c r="B55" t="inlineStr">
        <is>
          <t>Mar</t>
        </is>
      </c>
      <c r="C55">
        <f>VLOOKUP(A55, Employees!$A$2:$E$21, 5, FALSE)</f>
        <v/>
      </c>
      <c r="D55">
        <f>VLOOKUP(A55, Attendance!$A$2:$D$61, 4, FALSE) * (C55/30/8)</f>
        <v/>
      </c>
      <c r="E55">
        <f>C55 + D55</f>
        <v/>
      </c>
      <c r="F55">
        <f>IF(E55&gt;15000, E55*0.2, IF(E55&gt;10000, E55*0.1, IF(E55&gt;5000, E55*0.05, 0)))</f>
        <v/>
      </c>
      <c r="G55">
        <f>E55 - F55</f>
        <v/>
      </c>
    </row>
    <row r="56">
      <c r="A56" t="inlineStr">
        <is>
          <t>E019</t>
        </is>
      </c>
      <c r="B56" t="inlineStr">
        <is>
          <t>Jan</t>
        </is>
      </c>
      <c r="C56">
        <f>VLOOKUP(A56, Employees!$A$2:$E$21, 5, FALSE)</f>
        <v/>
      </c>
      <c r="D56">
        <f>VLOOKUP(A56, Attendance!$A$2:$D$61, 4, FALSE) * (C56/30/8)</f>
        <v/>
      </c>
      <c r="E56">
        <f>C56 + D56</f>
        <v/>
      </c>
      <c r="F56">
        <f>IF(E56&gt;15000, E56*0.2, IF(E56&gt;10000, E56*0.1, IF(E56&gt;5000, E56*0.05, 0)))</f>
        <v/>
      </c>
      <c r="G56">
        <f>E56 - F56</f>
        <v/>
      </c>
    </row>
    <row r="57">
      <c r="A57" t="inlineStr">
        <is>
          <t>E019</t>
        </is>
      </c>
      <c r="B57" t="inlineStr">
        <is>
          <t>Feb</t>
        </is>
      </c>
      <c r="C57">
        <f>VLOOKUP(A57, Employees!$A$2:$E$21, 5, FALSE)</f>
        <v/>
      </c>
      <c r="D57">
        <f>VLOOKUP(A57, Attendance!$A$2:$D$61, 4, FALSE) * (C57/30/8)</f>
        <v/>
      </c>
      <c r="E57">
        <f>C57 + D57</f>
        <v/>
      </c>
      <c r="F57">
        <f>IF(E57&gt;15000, E57*0.2, IF(E57&gt;10000, E57*0.1, IF(E57&gt;5000, E57*0.05, 0)))</f>
        <v/>
      </c>
      <c r="G57">
        <f>E57 - F57</f>
        <v/>
      </c>
    </row>
    <row r="58">
      <c r="A58" t="inlineStr">
        <is>
          <t>E019</t>
        </is>
      </c>
      <c r="B58" t="inlineStr">
        <is>
          <t>Mar</t>
        </is>
      </c>
      <c r="C58">
        <f>VLOOKUP(A58, Employees!$A$2:$E$21, 5, FALSE)</f>
        <v/>
      </c>
      <c r="D58">
        <f>VLOOKUP(A58, Attendance!$A$2:$D$61, 4, FALSE) * (C58/30/8)</f>
        <v/>
      </c>
      <c r="E58">
        <f>C58 + D58</f>
        <v/>
      </c>
      <c r="F58">
        <f>IF(E58&gt;15000, E58*0.2, IF(E58&gt;10000, E58*0.1, IF(E58&gt;5000, E58*0.05, 0)))</f>
        <v/>
      </c>
      <c r="G58">
        <f>E58 - F58</f>
        <v/>
      </c>
    </row>
    <row r="59">
      <c r="A59" t="inlineStr">
        <is>
          <t>E020</t>
        </is>
      </c>
      <c r="B59" t="inlineStr">
        <is>
          <t>Jan</t>
        </is>
      </c>
      <c r="C59">
        <f>VLOOKUP(A59, Employees!$A$2:$E$21, 5, FALSE)</f>
        <v/>
      </c>
      <c r="D59">
        <f>VLOOKUP(A59, Attendance!$A$2:$D$61, 4, FALSE) * (C59/30/8)</f>
        <v/>
      </c>
      <c r="E59">
        <f>C59 + D59</f>
        <v/>
      </c>
      <c r="F59">
        <f>IF(E59&gt;15000, E59*0.2, IF(E59&gt;10000, E59*0.1, IF(E59&gt;5000, E59*0.05, 0)))</f>
        <v/>
      </c>
      <c r="G59">
        <f>E59 - F59</f>
        <v/>
      </c>
    </row>
    <row r="60">
      <c r="A60" t="inlineStr">
        <is>
          <t>E020</t>
        </is>
      </c>
      <c r="B60" t="inlineStr">
        <is>
          <t>Feb</t>
        </is>
      </c>
      <c r="C60">
        <f>VLOOKUP(A60, Employees!$A$2:$E$21, 5, FALSE)</f>
        <v/>
      </c>
      <c r="D60">
        <f>VLOOKUP(A60, Attendance!$A$2:$D$61, 4, FALSE) * (C60/30/8)</f>
        <v/>
      </c>
      <c r="E60">
        <f>C60 + D60</f>
        <v/>
      </c>
      <c r="F60">
        <f>IF(E60&gt;15000, E60*0.2, IF(E60&gt;10000, E60*0.1, IF(E60&gt;5000, E60*0.05, 0)))</f>
        <v/>
      </c>
      <c r="G60">
        <f>E60 - F60</f>
        <v/>
      </c>
    </row>
    <row r="61">
      <c r="A61" t="inlineStr">
        <is>
          <t>E020</t>
        </is>
      </c>
      <c r="B61" t="inlineStr">
        <is>
          <t>Mar</t>
        </is>
      </c>
      <c r="C61">
        <f>VLOOKUP(A61, Employees!$A$2:$E$21, 5, FALSE)</f>
        <v/>
      </c>
      <c r="D61">
        <f>VLOOKUP(A61, Attendance!$A$2:$D$61, 4, FALSE) * (C61/30/8)</f>
        <v/>
      </c>
      <c r="E61">
        <f>C61 + D61</f>
        <v/>
      </c>
      <c r="F61">
        <f>IF(E61&gt;15000, E61*0.2, IF(E61&gt;10000, E61*0.1, IF(E61&gt;5000, E61*0.05, 0)))</f>
        <v/>
      </c>
      <c r="G61">
        <f>E61 - F61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Grade</t>
        </is>
      </c>
      <c r="D1" t="inlineStr">
        <is>
          <t>Years_of_Service</t>
        </is>
      </c>
      <c r="E1" t="inlineStr">
        <is>
          <t>Benefit_Multiplier</t>
        </is>
      </c>
      <c r="F1" t="inlineStr">
        <is>
          <t>Calculated_Benefit</t>
        </is>
      </c>
    </row>
    <row r="2">
      <c r="A2" t="inlineStr">
        <is>
          <t>E001</t>
        </is>
      </c>
      <c r="B2">
        <f>VLOOKUP(A2, Employees!$A$2:$B$21, 2, FALSE)</f>
        <v/>
      </c>
      <c r="C2">
        <f>VLOOKUP(A2, Employees!$A$2:$C$21, 3, FALSE)</f>
        <v/>
      </c>
      <c r="D2">
        <f>YEAR(TODAY()) - YEAR(VLOOKUP(A2, Employees!$A$2:$D$21, 4, FALSE))</f>
        <v/>
      </c>
      <c r="E2">
        <f>INDEX(DB_Benefits_Matrix!$B$2:$F$6, MATCH(C2, DB_Benefits_Matrix!$A$2:$A$6, 0), MATCH(D2, DB_Benefits_Matrix!$B$1:$F$1, 0))</f>
        <v/>
      </c>
      <c r="F2">
        <f>VLOOKUP(A2, Salary_Processing!$A$2:$G$61, 7, FALSE) * E2</f>
        <v/>
      </c>
    </row>
    <row r="3">
      <c r="A3" t="inlineStr">
        <is>
          <t>E002</t>
        </is>
      </c>
      <c r="B3">
        <f>VLOOKUP(A3, Employees!$A$2:$B$21, 2, FALSE)</f>
        <v/>
      </c>
      <c r="C3">
        <f>VLOOKUP(A3, Employees!$A$2:$C$21, 3, FALSE)</f>
        <v/>
      </c>
      <c r="D3">
        <f>YEAR(TODAY()) - YEAR(VLOOKUP(A3, Employees!$A$2:$D$21, 4, FALSE))</f>
        <v/>
      </c>
      <c r="E3">
        <f>INDEX(DB_Benefits_Matrix!$B$2:$F$6, MATCH(C3, DB_Benefits_Matrix!$A$2:$A$6, 0), MATCH(D3, DB_Benefits_Matrix!$B$1:$F$1, 0))</f>
        <v/>
      </c>
      <c r="F3">
        <f>VLOOKUP(A3, Salary_Processing!$A$2:$G$61, 7, FALSE) * E3</f>
        <v/>
      </c>
    </row>
    <row r="4">
      <c r="A4" t="inlineStr">
        <is>
          <t>E003</t>
        </is>
      </c>
      <c r="B4">
        <f>VLOOKUP(A4, Employees!$A$2:$B$21, 2, FALSE)</f>
        <v/>
      </c>
      <c r="C4">
        <f>VLOOKUP(A4, Employees!$A$2:$C$21, 3, FALSE)</f>
        <v/>
      </c>
      <c r="D4">
        <f>YEAR(TODAY()) - YEAR(VLOOKUP(A4, Employees!$A$2:$D$21, 4, FALSE))</f>
        <v/>
      </c>
      <c r="E4">
        <f>INDEX(DB_Benefits_Matrix!$B$2:$F$6, MATCH(C4, DB_Benefits_Matrix!$A$2:$A$6, 0), MATCH(D4, DB_Benefits_Matrix!$B$1:$F$1, 0))</f>
        <v/>
      </c>
      <c r="F4">
        <f>VLOOKUP(A4, Salary_Processing!$A$2:$G$61, 7, FALSE) * E4</f>
        <v/>
      </c>
    </row>
    <row r="5">
      <c r="A5" t="inlineStr">
        <is>
          <t>E004</t>
        </is>
      </c>
      <c r="B5">
        <f>VLOOKUP(A5, Employees!$A$2:$B$21, 2, FALSE)</f>
        <v/>
      </c>
      <c r="C5">
        <f>VLOOKUP(A5, Employees!$A$2:$C$21, 3, FALSE)</f>
        <v/>
      </c>
      <c r="D5">
        <f>YEAR(TODAY()) - YEAR(VLOOKUP(A5, Employees!$A$2:$D$21, 4, FALSE))</f>
        <v/>
      </c>
      <c r="E5">
        <f>INDEX(DB_Benefits_Matrix!$B$2:$F$6, MATCH(C5, DB_Benefits_Matrix!$A$2:$A$6, 0), MATCH(D5, DB_Benefits_Matrix!$B$1:$F$1, 0))</f>
        <v/>
      </c>
      <c r="F5">
        <f>VLOOKUP(A5, Salary_Processing!$A$2:$G$61, 7, FALSE) * E5</f>
        <v/>
      </c>
    </row>
    <row r="6">
      <c r="A6" t="inlineStr">
        <is>
          <t>E005</t>
        </is>
      </c>
      <c r="B6">
        <f>VLOOKUP(A6, Employees!$A$2:$B$21, 2, FALSE)</f>
        <v/>
      </c>
      <c r="C6">
        <f>VLOOKUP(A6, Employees!$A$2:$C$21, 3, FALSE)</f>
        <v/>
      </c>
      <c r="D6">
        <f>YEAR(TODAY()) - YEAR(VLOOKUP(A6, Employees!$A$2:$D$21, 4, FALSE))</f>
        <v/>
      </c>
      <c r="E6">
        <f>INDEX(DB_Benefits_Matrix!$B$2:$F$6, MATCH(C6, DB_Benefits_Matrix!$A$2:$A$6, 0), MATCH(D6, DB_Benefits_Matrix!$B$1:$F$1, 0))</f>
        <v/>
      </c>
      <c r="F6">
        <f>VLOOKUP(A6, Salary_Processing!$A$2:$G$61, 7, FALSE) * E6</f>
        <v/>
      </c>
    </row>
    <row r="7">
      <c r="A7" t="inlineStr">
        <is>
          <t>E006</t>
        </is>
      </c>
      <c r="B7">
        <f>VLOOKUP(A7, Employees!$A$2:$B$21, 2, FALSE)</f>
        <v/>
      </c>
      <c r="C7">
        <f>VLOOKUP(A7, Employees!$A$2:$C$21, 3, FALSE)</f>
        <v/>
      </c>
      <c r="D7">
        <f>YEAR(TODAY()) - YEAR(VLOOKUP(A7, Employees!$A$2:$D$21, 4, FALSE))</f>
        <v/>
      </c>
      <c r="E7">
        <f>INDEX(DB_Benefits_Matrix!$B$2:$F$6, MATCH(C7, DB_Benefits_Matrix!$A$2:$A$6, 0), MATCH(D7, DB_Benefits_Matrix!$B$1:$F$1, 0))</f>
        <v/>
      </c>
      <c r="F7">
        <f>VLOOKUP(A7, Salary_Processing!$A$2:$G$61, 7, FALSE) * E7</f>
        <v/>
      </c>
    </row>
    <row r="8">
      <c r="A8" t="inlineStr">
        <is>
          <t>E007</t>
        </is>
      </c>
      <c r="B8">
        <f>VLOOKUP(A8, Employees!$A$2:$B$21, 2, FALSE)</f>
        <v/>
      </c>
      <c r="C8">
        <f>VLOOKUP(A8, Employees!$A$2:$C$21, 3, FALSE)</f>
        <v/>
      </c>
      <c r="D8">
        <f>YEAR(TODAY()) - YEAR(VLOOKUP(A8, Employees!$A$2:$D$21, 4, FALSE))</f>
        <v/>
      </c>
      <c r="E8">
        <f>INDEX(DB_Benefits_Matrix!$B$2:$F$6, MATCH(C8, DB_Benefits_Matrix!$A$2:$A$6, 0), MATCH(D8, DB_Benefits_Matrix!$B$1:$F$1, 0))</f>
        <v/>
      </c>
      <c r="F8">
        <f>VLOOKUP(A8, Salary_Processing!$A$2:$G$61, 7, FALSE) * E8</f>
        <v/>
      </c>
    </row>
    <row r="9">
      <c r="A9" t="inlineStr">
        <is>
          <t>E008</t>
        </is>
      </c>
      <c r="B9">
        <f>VLOOKUP(A9, Employees!$A$2:$B$21, 2, FALSE)</f>
        <v/>
      </c>
      <c r="C9">
        <f>VLOOKUP(A9, Employees!$A$2:$C$21, 3, FALSE)</f>
        <v/>
      </c>
      <c r="D9">
        <f>YEAR(TODAY()) - YEAR(VLOOKUP(A9, Employees!$A$2:$D$21, 4, FALSE))</f>
        <v/>
      </c>
      <c r="E9">
        <f>INDEX(DB_Benefits_Matrix!$B$2:$F$6, MATCH(C9, DB_Benefits_Matrix!$A$2:$A$6, 0), MATCH(D9, DB_Benefits_Matrix!$B$1:$F$1, 0))</f>
        <v/>
      </c>
      <c r="F9">
        <f>VLOOKUP(A9, Salary_Processing!$A$2:$G$61, 7, FALSE) * E9</f>
        <v/>
      </c>
    </row>
    <row r="10">
      <c r="A10" t="inlineStr">
        <is>
          <t>E009</t>
        </is>
      </c>
      <c r="B10">
        <f>VLOOKUP(A10, Employees!$A$2:$B$21, 2, FALSE)</f>
        <v/>
      </c>
      <c r="C10">
        <f>VLOOKUP(A10, Employees!$A$2:$C$21, 3, FALSE)</f>
        <v/>
      </c>
      <c r="D10">
        <f>YEAR(TODAY()) - YEAR(VLOOKUP(A10, Employees!$A$2:$D$21, 4, FALSE))</f>
        <v/>
      </c>
      <c r="E10">
        <f>INDEX(DB_Benefits_Matrix!$B$2:$F$6, MATCH(C10, DB_Benefits_Matrix!$A$2:$A$6, 0), MATCH(D10, DB_Benefits_Matrix!$B$1:$F$1, 0))</f>
        <v/>
      </c>
      <c r="F10">
        <f>VLOOKUP(A10, Salary_Processing!$A$2:$G$61, 7, FALSE) * E10</f>
        <v/>
      </c>
    </row>
    <row r="11">
      <c r="A11" t="inlineStr">
        <is>
          <t>E010</t>
        </is>
      </c>
      <c r="B11">
        <f>VLOOKUP(A11, Employees!$A$2:$B$21, 2, FALSE)</f>
        <v/>
      </c>
      <c r="C11">
        <f>VLOOKUP(A11, Employees!$A$2:$C$21, 3, FALSE)</f>
        <v/>
      </c>
      <c r="D11">
        <f>YEAR(TODAY()) - YEAR(VLOOKUP(A11, Employees!$A$2:$D$21, 4, FALSE))</f>
        <v/>
      </c>
      <c r="E11">
        <f>INDEX(DB_Benefits_Matrix!$B$2:$F$6, MATCH(C11, DB_Benefits_Matrix!$A$2:$A$6, 0), MATCH(D11, DB_Benefits_Matrix!$B$1:$F$1, 0))</f>
        <v/>
      </c>
      <c r="F11">
        <f>VLOOKUP(A11, Salary_Processing!$A$2:$G$61, 7, FALSE) * E11</f>
        <v/>
      </c>
    </row>
    <row r="12">
      <c r="A12" t="inlineStr">
        <is>
          <t>E011</t>
        </is>
      </c>
      <c r="B12">
        <f>VLOOKUP(A12, Employees!$A$2:$B$21, 2, FALSE)</f>
        <v/>
      </c>
      <c r="C12">
        <f>VLOOKUP(A12, Employees!$A$2:$C$21, 3, FALSE)</f>
        <v/>
      </c>
      <c r="D12">
        <f>YEAR(TODAY()) - YEAR(VLOOKUP(A12, Employees!$A$2:$D$21, 4, FALSE))</f>
        <v/>
      </c>
      <c r="E12">
        <f>INDEX(DB_Benefits_Matrix!$B$2:$F$6, MATCH(C12, DB_Benefits_Matrix!$A$2:$A$6, 0), MATCH(D12, DB_Benefits_Matrix!$B$1:$F$1, 0))</f>
        <v/>
      </c>
      <c r="F12">
        <f>VLOOKUP(A12, Salary_Processing!$A$2:$G$61, 7, FALSE) * E12</f>
        <v/>
      </c>
    </row>
    <row r="13">
      <c r="A13" t="inlineStr">
        <is>
          <t>E012</t>
        </is>
      </c>
      <c r="B13">
        <f>VLOOKUP(A13, Employees!$A$2:$B$21, 2, FALSE)</f>
        <v/>
      </c>
      <c r="C13">
        <f>VLOOKUP(A13, Employees!$A$2:$C$21, 3, FALSE)</f>
        <v/>
      </c>
      <c r="D13">
        <f>YEAR(TODAY()) - YEAR(VLOOKUP(A13, Employees!$A$2:$D$21, 4, FALSE))</f>
        <v/>
      </c>
      <c r="E13">
        <f>INDEX(DB_Benefits_Matrix!$B$2:$F$6, MATCH(C13, DB_Benefits_Matrix!$A$2:$A$6, 0), MATCH(D13, DB_Benefits_Matrix!$B$1:$F$1, 0))</f>
        <v/>
      </c>
      <c r="F13">
        <f>VLOOKUP(A13, Salary_Processing!$A$2:$G$61, 7, FALSE) * E13</f>
        <v/>
      </c>
    </row>
    <row r="14">
      <c r="A14" t="inlineStr">
        <is>
          <t>E013</t>
        </is>
      </c>
      <c r="B14">
        <f>VLOOKUP(A14, Employees!$A$2:$B$21, 2, FALSE)</f>
        <v/>
      </c>
      <c r="C14">
        <f>VLOOKUP(A14, Employees!$A$2:$C$21, 3, FALSE)</f>
        <v/>
      </c>
      <c r="D14">
        <f>YEAR(TODAY()) - YEAR(VLOOKUP(A14, Employees!$A$2:$D$21, 4, FALSE))</f>
        <v/>
      </c>
      <c r="E14">
        <f>INDEX(DB_Benefits_Matrix!$B$2:$F$6, MATCH(C14, DB_Benefits_Matrix!$A$2:$A$6, 0), MATCH(D14, DB_Benefits_Matrix!$B$1:$F$1, 0))</f>
        <v/>
      </c>
      <c r="F14">
        <f>VLOOKUP(A14, Salary_Processing!$A$2:$G$61, 7, FALSE) * E14</f>
        <v/>
      </c>
    </row>
    <row r="15">
      <c r="A15" t="inlineStr">
        <is>
          <t>E014</t>
        </is>
      </c>
      <c r="B15">
        <f>VLOOKUP(A15, Employees!$A$2:$B$21, 2, FALSE)</f>
        <v/>
      </c>
      <c r="C15">
        <f>VLOOKUP(A15, Employees!$A$2:$C$21, 3, FALSE)</f>
        <v/>
      </c>
      <c r="D15">
        <f>YEAR(TODAY()) - YEAR(VLOOKUP(A15, Employees!$A$2:$D$21, 4, FALSE))</f>
        <v/>
      </c>
      <c r="E15">
        <f>INDEX(DB_Benefits_Matrix!$B$2:$F$6, MATCH(C15, DB_Benefits_Matrix!$A$2:$A$6, 0), MATCH(D15, DB_Benefits_Matrix!$B$1:$F$1, 0))</f>
        <v/>
      </c>
      <c r="F15">
        <f>VLOOKUP(A15, Salary_Processing!$A$2:$G$61, 7, FALSE) * E15</f>
        <v/>
      </c>
    </row>
    <row r="16">
      <c r="A16" t="inlineStr">
        <is>
          <t>E015</t>
        </is>
      </c>
      <c r="B16">
        <f>VLOOKUP(A16, Employees!$A$2:$B$21, 2, FALSE)</f>
        <v/>
      </c>
      <c r="C16">
        <f>VLOOKUP(A16, Employees!$A$2:$C$21, 3, FALSE)</f>
        <v/>
      </c>
      <c r="D16">
        <f>YEAR(TODAY()) - YEAR(VLOOKUP(A16, Employees!$A$2:$D$21, 4, FALSE))</f>
        <v/>
      </c>
      <c r="E16">
        <f>INDEX(DB_Benefits_Matrix!$B$2:$F$6, MATCH(C16, DB_Benefits_Matrix!$A$2:$A$6, 0), MATCH(D16, DB_Benefits_Matrix!$B$1:$F$1, 0))</f>
        <v/>
      </c>
      <c r="F16">
        <f>VLOOKUP(A16, Salary_Processing!$A$2:$G$61, 7, FALSE) * E16</f>
        <v/>
      </c>
    </row>
    <row r="17">
      <c r="A17" t="inlineStr">
        <is>
          <t>E016</t>
        </is>
      </c>
      <c r="B17">
        <f>VLOOKUP(A17, Employees!$A$2:$B$21, 2, FALSE)</f>
        <v/>
      </c>
      <c r="C17">
        <f>VLOOKUP(A17, Employees!$A$2:$C$21, 3, FALSE)</f>
        <v/>
      </c>
      <c r="D17">
        <f>YEAR(TODAY()) - YEAR(VLOOKUP(A17, Employees!$A$2:$D$21, 4, FALSE))</f>
        <v/>
      </c>
      <c r="E17">
        <f>INDEX(DB_Benefits_Matrix!$B$2:$F$6, MATCH(C17, DB_Benefits_Matrix!$A$2:$A$6, 0), MATCH(D17, DB_Benefits_Matrix!$B$1:$F$1, 0))</f>
        <v/>
      </c>
      <c r="F17">
        <f>VLOOKUP(A17, Salary_Processing!$A$2:$G$61, 7, FALSE) * E17</f>
        <v/>
      </c>
    </row>
    <row r="18">
      <c r="A18" t="inlineStr">
        <is>
          <t>E017</t>
        </is>
      </c>
      <c r="B18">
        <f>VLOOKUP(A18, Employees!$A$2:$B$21, 2, FALSE)</f>
        <v/>
      </c>
      <c r="C18">
        <f>VLOOKUP(A18, Employees!$A$2:$C$21, 3, FALSE)</f>
        <v/>
      </c>
      <c r="D18">
        <f>YEAR(TODAY()) - YEAR(VLOOKUP(A18, Employees!$A$2:$D$21, 4, FALSE))</f>
        <v/>
      </c>
      <c r="E18">
        <f>INDEX(DB_Benefits_Matrix!$B$2:$F$6, MATCH(C18, DB_Benefits_Matrix!$A$2:$A$6, 0), MATCH(D18, DB_Benefits_Matrix!$B$1:$F$1, 0))</f>
        <v/>
      </c>
      <c r="F18">
        <f>VLOOKUP(A18, Salary_Processing!$A$2:$G$61, 7, FALSE) * E18</f>
        <v/>
      </c>
    </row>
    <row r="19">
      <c r="A19" t="inlineStr">
        <is>
          <t>E018</t>
        </is>
      </c>
      <c r="B19">
        <f>VLOOKUP(A19, Employees!$A$2:$B$21, 2, FALSE)</f>
        <v/>
      </c>
      <c r="C19">
        <f>VLOOKUP(A19, Employees!$A$2:$C$21, 3, FALSE)</f>
        <v/>
      </c>
      <c r="D19">
        <f>YEAR(TODAY()) - YEAR(VLOOKUP(A19, Employees!$A$2:$D$21, 4, FALSE))</f>
        <v/>
      </c>
      <c r="E19">
        <f>INDEX(DB_Benefits_Matrix!$B$2:$F$6, MATCH(C19, DB_Benefits_Matrix!$A$2:$A$6, 0), MATCH(D19, DB_Benefits_Matrix!$B$1:$F$1, 0))</f>
        <v/>
      </c>
      <c r="F19">
        <f>VLOOKUP(A19, Salary_Processing!$A$2:$G$61, 7, FALSE) * E19</f>
        <v/>
      </c>
    </row>
    <row r="20">
      <c r="A20" t="inlineStr">
        <is>
          <t>E019</t>
        </is>
      </c>
      <c r="B20">
        <f>VLOOKUP(A20, Employees!$A$2:$B$21, 2, FALSE)</f>
        <v/>
      </c>
      <c r="C20">
        <f>VLOOKUP(A20, Employees!$A$2:$C$21, 3, FALSE)</f>
        <v/>
      </c>
      <c r="D20">
        <f>YEAR(TODAY()) - YEAR(VLOOKUP(A20, Employees!$A$2:$D$21, 4, FALSE))</f>
        <v/>
      </c>
      <c r="E20">
        <f>INDEX(DB_Benefits_Matrix!$B$2:$F$6, MATCH(C20, DB_Benefits_Matrix!$A$2:$A$6, 0), MATCH(D20, DB_Benefits_Matrix!$B$1:$F$1, 0))</f>
        <v/>
      </c>
      <c r="F20">
        <f>VLOOKUP(A20, Salary_Processing!$A$2:$G$61, 7, FALSE) * E20</f>
        <v/>
      </c>
    </row>
    <row r="21">
      <c r="A21" t="inlineStr">
        <is>
          <t>E020</t>
        </is>
      </c>
      <c r="B21">
        <f>VLOOKUP(A21, Employees!$A$2:$B$21, 2, FALSE)</f>
        <v/>
      </c>
      <c r="C21">
        <f>VLOOKUP(A21, Employees!$A$2:$C$21, 3, FALSE)</f>
        <v/>
      </c>
      <c r="D21">
        <f>YEAR(TODAY()) - YEAR(VLOOKUP(A21, Employees!$A$2:$D$21, 4, FALSE))</f>
        <v/>
      </c>
      <c r="E21">
        <f>INDEX(DB_Benefits_Matrix!$B$2:$F$6, MATCH(C21, DB_Benefits_Matrix!$A$2:$A$6, 0), MATCH(D21, DB_Benefits_Matrix!$B$1:$F$1, 0))</f>
        <v/>
      </c>
      <c r="F21">
        <f>VLOOKUP(A21, Salary_Processing!$A$2:$G$61, 7, FALSE) * E21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Total_Net_Salary</t>
        </is>
      </c>
      <c r="C1" t="inlineStr">
        <is>
          <t>Total_Benefits</t>
        </is>
      </c>
      <c r="D1" t="inlineStr">
        <is>
          <t>Final_Payout</t>
        </is>
      </c>
      <c r="E1" t="inlineStr">
        <is>
          <t>Payout_Status</t>
        </is>
      </c>
    </row>
    <row r="2">
      <c r="A2" t="inlineStr">
        <is>
          <t>E001</t>
        </is>
      </c>
      <c r="B2">
        <f>SUMIFS(Salary_Processing!$G$2:$G$61, Salary_Processing!$A$2:$A$61, A2)</f>
        <v/>
      </c>
      <c r="C2">
        <f>SUMIFS(Benefits_Lookup!$F$2:$F$21, Benefits_Lookup!$A$2:$A$21, A2)</f>
        <v/>
      </c>
      <c r="D2">
        <f>B2 + C2</f>
        <v/>
      </c>
      <c r="E2">
        <f>IF(D2&gt;50000, "High Earner", "Standard")</f>
        <v/>
      </c>
    </row>
    <row r="3">
      <c r="A3" t="inlineStr">
        <is>
          <t>E002</t>
        </is>
      </c>
      <c r="B3">
        <f>SUMIFS(Salary_Processing!$G$2:$G$61, Salary_Processing!$A$2:$A$61, A3)</f>
        <v/>
      </c>
      <c r="C3">
        <f>SUMIFS(Benefits_Lookup!$F$2:$F$21, Benefits_Lookup!$A$2:$A$21, A3)</f>
        <v/>
      </c>
      <c r="D3">
        <f>B3 + C3</f>
        <v/>
      </c>
      <c r="E3">
        <f>IF(D3&gt;50000, "High Earner", "Standard")</f>
        <v/>
      </c>
    </row>
    <row r="4">
      <c r="A4" t="inlineStr">
        <is>
          <t>E003</t>
        </is>
      </c>
      <c r="B4">
        <f>SUMIFS(Salary_Processing!$G$2:$G$61, Salary_Processing!$A$2:$A$61, A4)</f>
        <v/>
      </c>
      <c r="C4">
        <f>SUMIFS(Benefits_Lookup!$F$2:$F$21, Benefits_Lookup!$A$2:$A$21, A4)</f>
        <v/>
      </c>
      <c r="D4">
        <f>B4 + C4</f>
        <v/>
      </c>
      <c r="E4">
        <f>IF(D4&gt;50000, "High Earner", "Standard")</f>
        <v/>
      </c>
    </row>
    <row r="5">
      <c r="A5" t="inlineStr">
        <is>
          <t>E004</t>
        </is>
      </c>
      <c r="B5">
        <f>SUMIFS(Salary_Processing!$G$2:$G$61, Salary_Processing!$A$2:$A$61, A5)</f>
        <v/>
      </c>
      <c r="C5">
        <f>SUMIFS(Benefits_Lookup!$F$2:$F$21, Benefits_Lookup!$A$2:$A$21, A5)</f>
        <v/>
      </c>
      <c r="D5">
        <f>B5 + C5</f>
        <v/>
      </c>
      <c r="E5">
        <f>IF(D5&gt;50000, "High Earner", "Standard")</f>
        <v/>
      </c>
    </row>
    <row r="6">
      <c r="A6" t="inlineStr">
        <is>
          <t>E005</t>
        </is>
      </c>
      <c r="B6">
        <f>SUMIFS(Salary_Processing!$G$2:$G$61, Salary_Processing!$A$2:$A$61, A6)</f>
        <v/>
      </c>
      <c r="C6">
        <f>SUMIFS(Benefits_Lookup!$F$2:$F$21, Benefits_Lookup!$A$2:$A$21, A6)</f>
        <v/>
      </c>
      <c r="D6">
        <f>B6 + C6</f>
        <v/>
      </c>
      <c r="E6">
        <f>IF(D6&gt;50000, "High Earner", "Standard")</f>
        <v/>
      </c>
    </row>
    <row r="7">
      <c r="A7" t="inlineStr">
        <is>
          <t>E006</t>
        </is>
      </c>
      <c r="B7">
        <f>SUMIFS(Salary_Processing!$G$2:$G$61, Salary_Processing!$A$2:$A$61, A7)</f>
        <v/>
      </c>
      <c r="C7">
        <f>SUMIFS(Benefits_Lookup!$F$2:$F$21, Benefits_Lookup!$A$2:$A$21, A7)</f>
        <v/>
      </c>
      <c r="D7">
        <f>B7 + C7</f>
        <v/>
      </c>
      <c r="E7">
        <f>IF(D7&gt;50000, "High Earner", "Standard")</f>
        <v/>
      </c>
    </row>
    <row r="8">
      <c r="A8" t="inlineStr">
        <is>
          <t>E007</t>
        </is>
      </c>
      <c r="B8">
        <f>SUMIFS(Salary_Processing!$G$2:$G$61, Salary_Processing!$A$2:$A$61, A8)</f>
        <v/>
      </c>
      <c r="C8">
        <f>SUMIFS(Benefits_Lookup!$F$2:$F$21, Benefits_Lookup!$A$2:$A$21, A8)</f>
        <v/>
      </c>
      <c r="D8">
        <f>B8 + C8</f>
        <v/>
      </c>
      <c r="E8">
        <f>IF(D8&gt;50000, "High Earner", "Standard")</f>
        <v/>
      </c>
    </row>
    <row r="9">
      <c r="A9" t="inlineStr">
        <is>
          <t>E008</t>
        </is>
      </c>
      <c r="B9">
        <f>SUMIFS(Salary_Processing!$G$2:$G$61, Salary_Processing!$A$2:$A$61, A9)</f>
        <v/>
      </c>
      <c r="C9">
        <f>SUMIFS(Benefits_Lookup!$F$2:$F$21, Benefits_Lookup!$A$2:$A$21, A9)</f>
        <v/>
      </c>
      <c r="D9">
        <f>B9 + C9</f>
        <v/>
      </c>
      <c r="E9">
        <f>IF(D9&gt;50000, "High Earner", "Standard")</f>
        <v/>
      </c>
    </row>
    <row r="10">
      <c r="A10" t="inlineStr">
        <is>
          <t>E009</t>
        </is>
      </c>
      <c r="B10">
        <f>SUMIFS(Salary_Processing!$G$2:$G$61, Salary_Processing!$A$2:$A$61, A10)</f>
        <v/>
      </c>
      <c r="C10">
        <f>SUMIFS(Benefits_Lookup!$F$2:$F$21, Benefits_Lookup!$A$2:$A$21, A10)</f>
        <v/>
      </c>
      <c r="D10">
        <f>B10 + C10</f>
        <v/>
      </c>
      <c r="E10">
        <f>IF(D10&gt;50000, "High Earner", "Standard")</f>
        <v/>
      </c>
    </row>
    <row r="11">
      <c r="A11" t="inlineStr">
        <is>
          <t>E010</t>
        </is>
      </c>
      <c r="B11">
        <f>SUMIFS(Salary_Processing!$G$2:$G$61, Salary_Processing!$A$2:$A$61, A11)</f>
        <v/>
      </c>
      <c r="C11">
        <f>SUMIFS(Benefits_Lookup!$F$2:$F$21, Benefits_Lookup!$A$2:$A$21, A11)</f>
        <v/>
      </c>
      <c r="D11">
        <f>B11 + C11</f>
        <v/>
      </c>
      <c r="E11">
        <f>IF(D11&gt;50000, "High Earner", "Standard")</f>
        <v/>
      </c>
    </row>
    <row r="12">
      <c r="A12" t="inlineStr">
        <is>
          <t>E011</t>
        </is>
      </c>
      <c r="B12">
        <f>SUMIFS(Salary_Processing!$G$2:$G$61, Salary_Processing!$A$2:$A$61, A12)</f>
        <v/>
      </c>
      <c r="C12">
        <f>SUMIFS(Benefits_Lookup!$F$2:$F$21, Benefits_Lookup!$A$2:$A$21, A12)</f>
        <v/>
      </c>
      <c r="D12">
        <f>B12 + C12</f>
        <v/>
      </c>
      <c r="E12">
        <f>IF(D12&gt;50000, "High Earner", "Standard")</f>
        <v/>
      </c>
    </row>
    <row r="13">
      <c r="A13" t="inlineStr">
        <is>
          <t>E012</t>
        </is>
      </c>
      <c r="B13">
        <f>SUMIFS(Salary_Processing!$G$2:$G$61, Salary_Processing!$A$2:$A$61, A13)</f>
        <v/>
      </c>
      <c r="C13">
        <f>SUMIFS(Benefits_Lookup!$F$2:$F$21, Benefits_Lookup!$A$2:$A$21, A13)</f>
        <v/>
      </c>
      <c r="D13">
        <f>B13 + C13</f>
        <v/>
      </c>
      <c r="E13">
        <f>IF(D13&gt;50000, "High Earner", "Standard")</f>
        <v/>
      </c>
    </row>
    <row r="14">
      <c r="A14" t="inlineStr">
        <is>
          <t>E013</t>
        </is>
      </c>
      <c r="B14">
        <f>SUMIFS(Salary_Processing!$G$2:$G$61, Salary_Processing!$A$2:$A$61, A14)</f>
        <v/>
      </c>
      <c r="C14">
        <f>SUMIFS(Benefits_Lookup!$F$2:$F$21, Benefits_Lookup!$A$2:$A$21, A14)</f>
        <v/>
      </c>
      <c r="D14">
        <f>B14 + C14</f>
        <v/>
      </c>
      <c r="E14">
        <f>IF(D14&gt;50000, "High Earner", "Standard")</f>
        <v/>
      </c>
    </row>
    <row r="15">
      <c r="A15" t="inlineStr">
        <is>
          <t>E014</t>
        </is>
      </c>
      <c r="B15">
        <f>SUMIFS(Salary_Processing!$G$2:$G$61, Salary_Processing!$A$2:$A$61, A15)</f>
        <v/>
      </c>
      <c r="C15">
        <f>SUMIFS(Benefits_Lookup!$F$2:$F$21, Benefits_Lookup!$A$2:$A$21, A15)</f>
        <v/>
      </c>
      <c r="D15">
        <f>B15 + C15</f>
        <v/>
      </c>
      <c r="E15">
        <f>IF(D15&gt;50000, "High Earner", "Standard")</f>
        <v/>
      </c>
    </row>
    <row r="16">
      <c r="A16" t="inlineStr">
        <is>
          <t>E015</t>
        </is>
      </c>
      <c r="B16">
        <f>SUMIFS(Salary_Processing!$G$2:$G$61, Salary_Processing!$A$2:$A$61, A16)</f>
        <v/>
      </c>
      <c r="C16">
        <f>SUMIFS(Benefits_Lookup!$F$2:$F$21, Benefits_Lookup!$A$2:$A$21, A16)</f>
        <v/>
      </c>
      <c r="D16">
        <f>B16 + C16</f>
        <v/>
      </c>
      <c r="E16">
        <f>IF(D16&gt;50000, "High Earner", "Standard")</f>
        <v/>
      </c>
    </row>
    <row r="17">
      <c r="A17" t="inlineStr">
        <is>
          <t>E016</t>
        </is>
      </c>
      <c r="B17">
        <f>SUMIFS(Salary_Processing!$G$2:$G$61, Salary_Processing!$A$2:$A$61, A17)</f>
        <v/>
      </c>
      <c r="C17">
        <f>SUMIFS(Benefits_Lookup!$F$2:$F$21, Benefits_Lookup!$A$2:$A$21, A17)</f>
        <v/>
      </c>
      <c r="D17">
        <f>B17 + C17</f>
        <v/>
      </c>
      <c r="E17">
        <f>IF(D17&gt;50000, "High Earner", "Standard")</f>
        <v/>
      </c>
    </row>
    <row r="18">
      <c r="A18" t="inlineStr">
        <is>
          <t>E017</t>
        </is>
      </c>
      <c r="B18">
        <f>SUMIFS(Salary_Processing!$G$2:$G$61, Salary_Processing!$A$2:$A$61, A18)</f>
        <v/>
      </c>
      <c r="C18">
        <f>SUMIFS(Benefits_Lookup!$F$2:$F$21, Benefits_Lookup!$A$2:$A$21, A18)</f>
        <v/>
      </c>
      <c r="D18">
        <f>B18 + C18</f>
        <v/>
      </c>
      <c r="E18">
        <f>IF(D18&gt;50000, "High Earner", "Standard")</f>
        <v/>
      </c>
    </row>
    <row r="19">
      <c r="A19" t="inlineStr">
        <is>
          <t>E018</t>
        </is>
      </c>
      <c r="B19">
        <f>SUMIFS(Salary_Processing!$G$2:$G$61, Salary_Processing!$A$2:$A$61, A19)</f>
        <v/>
      </c>
      <c r="C19">
        <f>SUMIFS(Benefits_Lookup!$F$2:$F$21, Benefits_Lookup!$A$2:$A$21, A19)</f>
        <v/>
      </c>
      <c r="D19">
        <f>B19 + C19</f>
        <v/>
      </c>
      <c r="E19">
        <f>IF(D19&gt;50000, "High Earner", "Standard")</f>
        <v/>
      </c>
    </row>
    <row r="20">
      <c r="A20" t="inlineStr">
        <is>
          <t>E019</t>
        </is>
      </c>
      <c r="B20">
        <f>SUMIFS(Salary_Processing!$G$2:$G$61, Salary_Processing!$A$2:$A$61, A20)</f>
        <v/>
      </c>
      <c r="C20">
        <f>SUMIFS(Benefits_Lookup!$F$2:$F$21, Benefits_Lookup!$A$2:$A$21, A20)</f>
        <v/>
      </c>
      <c r="D20">
        <f>B20 + C20</f>
        <v/>
      </c>
      <c r="E20">
        <f>IF(D20&gt;50000, "High Earner", "Standard")</f>
        <v/>
      </c>
    </row>
    <row r="21">
      <c r="A21" t="inlineStr">
        <is>
          <t>E020</t>
        </is>
      </c>
      <c r="B21">
        <f>SUMIFS(Salary_Processing!$G$2:$G$61, Salary_Processing!$A$2:$A$61, A21)</f>
        <v/>
      </c>
      <c r="C21">
        <f>SUMIFS(Benefits_Lookup!$F$2:$F$21, Benefits_Lookup!$A$2:$A$21, A21)</f>
        <v/>
      </c>
      <c r="D21">
        <f>B21 + C21</f>
        <v/>
      </c>
      <c r="E21">
        <f>IF(D21&gt;50000, "High Earner", "Standard")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Headcount</t>
        </is>
      </c>
      <c r="B1">
        <f>COUNTA(Employees!$A$2:$A$21)</f>
        <v/>
      </c>
    </row>
    <row r="2">
      <c r="A2" t="inlineStr">
        <is>
          <t>Total Payout</t>
        </is>
      </c>
      <c r="B2">
        <f>SUM(Final_Payroll!$D$2:$D$21)</f>
        <v/>
      </c>
    </row>
    <row r="3">
      <c r="A3" t="inlineStr">
        <is>
          <t>IT Dept Cost</t>
        </is>
      </c>
      <c r="B3">
        <f>SUMIFS(Final_Payroll!$D$2:$D$21, Employees!$F$2:$F$21, "IT")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2026-06-06T05:46:51Z</dcterms:created>
  <dcterms:modified xmlns:dcterms="http://purl.org/dc/terms/" xmlns:xsi="http://www.w3.org/2001/XMLSchema-instance" xsi:type="dcterms:W3CDTF">2026-06-06T05:46:51Z</dcterms:modified>
</cp:coreProperties>
</file>