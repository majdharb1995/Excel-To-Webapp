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Disk - 1\ملفات وزارة الشؤون\IECD - EXCEL\"/>
    </mc:Choice>
  </mc:AlternateContent>
  <xr:revisionPtr revIDLastSave="0" documentId="13_ncr:1_{5AD82A64-96B9-40A0-93B0-CA9153E00499}" xr6:coauthVersionLast="47" xr6:coauthVersionMax="47" xr10:uidLastSave="{00000000-0000-0000-0000-000000000000}"/>
  <bookViews>
    <workbookView xWindow="-108" yWindow="-108" windowWidth="23256" windowHeight="12576" firstSheet="1" activeTab="7" xr2:uid="{00000000-000D-0000-FFFF-FFFF00000000}"/>
  </bookViews>
  <sheets>
    <sheet name="الصفحة الرئيسية" sheetId="19" r:id="rId1"/>
    <sheet name="الرسوم البيانية" sheetId="20" r:id="rId2"/>
    <sheet name="البحث" sheetId="5" r:id="rId3"/>
    <sheet name="بيانات المتدربين" sheetId="1" r:id="rId4"/>
    <sheet name="المعاملات المالية" sheetId="6" r:id="rId5"/>
    <sheet name="المعاملات الوصفية" sheetId="10" r:id="rId6"/>
    <sheet name="IFS" sheetId="29" r:id="rId7"/>
    <sheet name="الإحصاء" sheetId="14" r:id="rId8"/>
  </sheets>
  <definedNames>
    <definedName name="_xlnm._FilterDatabase" localSheetId="2" hidden="1">البحث!$F$1:$F$13</definedName>
    <definedName name="_xlcn.WorksheetConnection_Excel_Advanced_Training_Data.xlsxQQ1" hidden="1">QQ[]</definedName>
    <definedName name="_xlcn.WorksheetConnection_Excel_Advanced_Training_Data.xlsxTable41" hidden="1">Table4[]</definedName>
    <definedName name="_xlcn.WorksheetConnection_Excel_Advanced_Training_Data.xlsxTable51" hidden="1">Table5[]</definedName>
    <definedName name="_xlcn.WorksheetConnection_Excel_Advanced_Training_Data.xlsxTable71" hidden="1">'المعاملات الوصفية'!$A$1:$J$9</definedName>
    <definedName name="_xlcn.WorksheetConnection_بياناتالمتدربينA1J511" hidden="1">'بيانات المتدربين'!$B$1:$K$51</definedName>
  </definedNames>
  <calcPr calcId="191029"/>
  <pivotCaches>
    <pivotCache cacheId="0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بيانات المتدربين!$A$1:$J$51"/>
          <x15:modelTable id="Table7" name="Table7" connection="WorksheetConnection_Excel_Advanced_Training_Data.xlsx!Table7"/>
          <x15:modelTable id="Table5" name="Table5" connection="WorksheetConnection_Excel_Advanced_Training_Data.xlsx!Table5"/>
          <x15:modelTable id="Table4" name="Table4" connection="WorksheetConnection_Excel_Advanced_Training_Data.xlsx!Table4"/>
          <x15:modelTable id="QQ" name="QQ" connection="WorksheetConnection_Excel_Advanced_Training_Data.xlsx!QQ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9" l="1" a="1"/>
  <c r="D3" i="29" s="1"/>
  <c r="D4" i="29" a="1"/>
  <c r="D4" i="29" s="1"/>
  <c r="D5" i="29" a="1"/>
  <c r="D5" i="29" s="1"/>
  <c r="E7" i="5"/>
  <c r="C2" i="10"/>
  <c r="G2" i="10" a="1"/>
  <c r="G2" i="10" s="1"/>
  <c r="E9" i="5"/>
  <c r="F1" i="5" a="1"/>
  <c r="F1" i="5" s="1"/>
  <c r="G4" i="10" a="1"/>
  <c r="G4" i="10" s="1"/>
  <c r="G5" i="10" a="1"/>
  <c r="G5" i="10" s="1"/>
  <c r="G6" i="10" a="1"/>
  <c r="G6" i="10" s="1"/>
  <c r="G7" i="10" a="1"/>
  <c r="G7" i="10"/>
  <c r="G8" i="10" a="1"/>
  <c r="G8" i="10" s="1"/>
  <c r="C3" i="10"/>
  <c r="B9" i="14"/>
  <c r="B6" i="14"/>
  <c r="B5" i="14"/>
  <c r="B2" i="14"/>
  <c r="B4" i="14"/>
  <c r="B3" i="14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2" i="6"/>
  <c r="B10" i="14"/>
  <c r="B8" i="14"/>
  <c r="B7" i="14"/>
  <c r="D4" i="10"/>
  <c r="E4" i="10" s="1"/>
  <c r="C6" i="10"/>
  <c r="C7" i="10"/>
  <c r="C8" i="10"/>
  <c r="C4" i="10"/>
  <c r="C5" i="10"/>
  <c r="C2" i="6"/>
  <c r="D2" i="6" s="1"/>
  <c r="F2" i="6" s="1"/>
  <c r="G2" i="6" s="1"/>
  <c r="I2" i="6" s="1"/>
  <c r="B2" i="6"/>
  <c r="D3" i="10"/>
  <c r="E3" i="10" s="1"/>
  <c r="D5" i="10"/>
  <c r="E5" i="10" s="1"/>
  <c r="D6" i="10"/>
  <c r="E6" i="10" s="1"/>
  <c r="D7" i="10"/>
  <c r="E7" i="10" s="1"/>
  <c r="D8" i="10"/>
  <c r="E8" i="10" s="1"/>
  <c r="D2" i="10"/>
  <c r="E2" i="10" s="1"/>
  <c r="H3" i="10" l="1"/>
  <c r="I3" i="10"/>
  <c r="J3" i="10"/>
  <c r="D2" i="29" a="1"/>
  <c r="D2" i="29" s="1"/>
  <c r="J2" i="6"/>
  <c r="G3" i="10" l="1" a="1"/>
  <c r="G3" i="10" s="1"/>
  <c r="C4" i="6"/>
  <c r="D4" i="6" s="1"/>
  <c r="C3" i="6"/>
  <c r="D3" i="6" s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F3" i="6" l="1"/>
  <c r="J3" i="6"/>
  <c r="F4" i="6"/>
  <c r="J4" i="6"/>
  <c r="D34" i="6"/>
  <c r="D49" i="6"/>
  <c r="D41" i="6"/>
  <c r="D33" i="6"/>
  <c r="D25" i="6"/>
  <c r="D17" i="6"/>
  <c r="D9" i="6"/>
  <c r="J9" i="6" s="1"/>
  <c r="D51" i="6"/>
  <c r="D43" i="6"/>
  <c r="D27" i="6"/>
  <c r="D19" i="6"/>
  <c r="D11" i="6"/>
  <c r="D50" i="6"/>
  <c r="D42" i="6"/>
  <c r="D26" i="6"/>
  <c r="D18" i="6"/>
  <c r="D10" i="6"/>
  <c r="D48" i="6"/>
  <c r="D40" i="6"/>
  <c r="D32" i="6"/>
  <c r="D24" i="6"/>
  <c r="D16" i="6"/>
  <c r="D8" i="6"/>
  <c r="D47" i="6"/>
  <c r="D39" i="6"/>
  <c r="D31" i="6"/>
  <c r="D23" i="6"/>
  <c r="D15" i="6"/>
  <c r="D7" i="6"/>
  <c r="D45" i="6"/>
  <c r="D37" i="6"/>
  <c r="D29" i="6"/>
  <c r="D21" i="6"/>
  <c r="D13" i="6"/>
  <c r="D5" i="6"/>
  <c r="D46" i="6"/>
  <c r="D38" i="6"/>
  <c r="D30" i="6"/>
  <c r="D22" i="6"/>
  <c r="D14" i="6"/>
  <c r="D6" i="6"/>
  <c r="D44" i="6"/>
  <c r="D36" i="6"/>
  <c r="D28" i="6"/>
  <c r="D20" i="6"/>
  <c r="D12" i="6"/>
  <c r="D35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G4" i="6" l="1"/>
  <c r="G3" i="6"/>
  <c r="F7" i="6"/>
  <c r="J7" i="6"/>
  <c r="F15" i="6"/>
  <c r="G15" i="6" s="1"/>
  <c r="I15" i="6" s="1"/>
  <c r="J15" i="6"/>
  <c r="F11" i="6"/>
  <c r="G11" i="6" s="1"/>
  <c r="I11" i="6" s="1"/>
  <c r="J11" i="6"/>
  <c r="F5" i="6"/>
  <c r="J5" i="6"/>
  <c r="F13" i="6"/>
  <c r="J13" i="6"/>
  <c r="F6" i="6"/>
  <c r="J6" i="6"/>
  <c r="F10" i="6"/>
  <c r="J10" i="6"/>
  <c r="F14" i="6"/>
  <c r="G14" i="6" s="1"/>
  <c r="I14" i="6" s="1"/>
  <c r="J14" i="6"/>
  <c r="F8" i="6"/>
  <c r="J8" i="6"/>
  <c r="F12" i="6"/>
  <c r="J12" i="6"/>
  <c r="F9" i="6"/>
  <c r="I4" i="6" l="1"/>
  <c r="I3" i="6"/>
  <c r="G13" i="6"/>
  <c r="E8" i="5" s="1"/>
  <c r="G10" i="6"/>
  <c r="I10" i="6" s="1"/>
  <c r="G12" i="6"/>
  <c r="G9" i="6"/>
  <c r="I9" i="6" s="1"/>
  <c r="G7" i="6"/>
  <c r="I7" i="6" s="1"/>
  <c r="G8" i="6"/>
  <c r="I8" i="6" s="1"/>
  <c r="G6" i="6"/>
  <c r="I6" i="6" s="1"/>
  <c r="G5" i="6"/>
  <c r="K5" i="1"/>
  <c r="K30" i="1"/>
  <c r="K14" i="1"/>
  <c r="K49" i="1"/>
  <c r="K21" i="1"/>
  <c r="K31" i="1"/>
  <c r="K26" i="1"/>
  <c r="K34" i="1"/>
  <c r="K10" i="1"/>
  <c r="K37" i="1"/>
  <c r="K2" i="1"/>
  <c r="K44" i="1"/>
  <c r="K33" i="1"/>
  <c r="K47" i="1"/>
  <c r="K25" i="1"/>
  <c r="K35" i="1"/>
  <c r="K11" i="1"/>
  <c r="K13" i="1"/>
  <c r="K28" i="1"/>
  <c r="K42" i="1"/>
  <c r="K3" i="1"/>
  <c r="K43" i="1"/>
  <c r="K15" i="1"/>
  <c r="K22" i="1"/>
  <c r="K6" i="1"/>
  <c r="K23" i="1"/>
  <c r="K29" i="1"/>
  <c r="K38" i="1"/>
  <c r="K7" i="1"/>
  <c r="K8" i="1"/>
  <c r="K9" i="1"/>
  <c r="K27" i="1"/>
  <c r="K51" i="1"/>
  <c r="K32" i="1"/>
  <c r="K19" i="1"/>
  <c r="K36" i="1"/>
  <c r="K12" i="1"/>
  <c r="K39" i="1"/>
  <c r="K50" i="1"/>
  <c r="K45" i="1"/>
  <c r="K40" i="1"/>
  <c r="K46" i="1"/>
  <c r="K18" i="1"/>
  <c r="K16" i="1"/>
  <c r="K24" i="1"/>
  <c r="K41" i="1"/>
  <c r="K4" i="1"/>
  <c r="K17" i="1"/>
  <c r="K48" i="1"/>
  <c r="K20" i="1"/>
  <c r="I13" i="6" l="1"/>
  <c r="B15" i="14"/>
  <c r="B14" i="14"/>
  <c r="I5" i="6"/>
  <c r="I12" i="6"/>
  <c r="B1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46C60A-6B52-4639-87BB-E89C6BCF11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BB6083A-1788-404F-95D1-5FE088631F9D}" name="WorksheetConnection_Excel_Advanced_Training_Data.xlsx!QQ" type="102" refreshedVersion="8" minRefreshableVersion="5">
    <extLst>
      <ext xmlns:x15="http://schemas.microsoft.com/office/spreadsheetml/2010/11/main" uri="{DE250136-89BD-433C-8126-D09CA5730AF9}">
        <x15:connection id="QQ">
          <x15:rangePr sourceName="_xlcn.WorksheetConnection_Excel_Advanced_Training_Data.xlsxQQ1"/>
        </x15:connection>
      </ext>
    </extLst>
  </connection>
  <connection id="3" xr16:uid="{7ECDA5AF-19CD-456B-B6C4-AB467195E8BE}" name="WorksheetConnection_Excel_Advanced_Training_Data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Excel_Advanced_Training_Data.xlsxTable41"/>
        </x15:connection>
      </ext>
    </extLst>
  </connection>
  <connection id="4" xr16:uid="{E5786CF9-CC59-4E83-84E5-BF5672319D2B}" name="WorksheetConnection_Excel_Advanced_Training_Data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Excel_Advanced_Training_Data.xlsxTable51"/>
        </x15:connection>
      </ext>
    </extLst>
  </connection>
  <connection id="5" xr16:uid="{F9E479B0-4F19-4230-AD2D-F6CB2A6D33F4}" name="WorksheetConnection_Excel_Advanced_Training_Data.xlsx!Table7" type="102" refreshedVersion="8" minRefreshableVersion="5">
    <extLst>
      <ext xmlns:x15="http://schemas.microsoft.com/office/spreadsheetml/2010/11/main" uri="{DE250136-89BD-433C-8126-D09CA5730AF9}">
        <x15:connection id="Table7" autoDelete="1">
          <x15:rangePr sourceName="_xlcn.WorksheetConnection_Excel_Advanced_Training_Data.xlsxTable71"/>
        </x15:connection>
      </ext>
    </extLst>
  </connection>
  <connection id="6" xr16:uid="{A698DD0C-12D9-4E41-A8FA-A881888563BF}" name="WorksheetConnection_بيانات المتدربين!$A$1:$J$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بياناتالمتدربينA1J5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<sst xmlns="http://schemas.openxmlformats.org/spreadsheetml/2006/main" count="616" uniqueCount="387">
  <si>
    <t>الرقم الوظيفي-القسم</t>
  </si>
  <si>
    <t>تاريخ التعيين</t>
  </si>
  <si>
    <t>FIN-1001</t>
  </si>
  <si>
    <t>فاطمة محمود الحسن</t>
  </si>
  <si>
    <t>HR-2005</t>
  </si>
  <si>
    <t>2012/08/20</t>
  </si>
  <si>
    <t>سامر وليد الخطيب</t>
  </si>
  <si>
    <t>ADM-3010</t>
  </si>
  <si>
    <t>2015/03/15</t>
  </si>
  <si>
    <t>ليلى عبد الرحمن يوسف</t>
  </si>
  <si>
    <t>LEG-4015</t>
  </si>
  <si>
    <t>2018/11/02</t>
  </si>
  <si>
    <t>خالد عمر المصري</t>
  </si>
  <si>
    <t>FIN-1002</t>
  </si>
  <si>
    <t>2009/01/25</t>
  </si>
  <si>
    <t>مريم إبراهيم الدالي</t>
  </si>
  <si>
    <t>HR-2006</t>
  </si>
  <si>
    <t>2011/07/14</t>
  </si>
  <si>
    <t>ياسر فايز الجاسم</t>
  </si>
  <si>
    <t>ADM-3011</t>
  </si>
  <si>
    <t>2014/12/30</t>
  </si>
  <si>
    <t>نور الهدى صالح</t>
  </si>
  <si>
    <t>LEG-4016</t>
  </si>
  <si>
    <t>2017/04/22</t>
  </si>
  <si>
    <t>مصطفى كمال الزين</t>
  </si>
  <si>
    <t>FIN-1003</t>
  </si>
  <si>
    <t>2010/09/10</t>
  </si>
  <si>
    <t>هالة سمير غانم</t>
  </si>
  <si>
    <t>HR-2007</t>
  </si>
  <si>
    <t>2013/02/05</t>
  </si>
  <si>
    <t>زياد مطيع العبود</t>
  </si>
  <si>
    <t>ADM-3012</t>
  </si>
  <si>
    <t>2016/10/18</t>
  </si>
  <si>
    <t>رشا عبد الله صقر</t>
  </si>
  <si>
    <t>LEG-4017</t>
  </si>
  <si>
    <t>2019/06/25</t>
  </si>
  <si>
    <t>طارق منير الخوري</t>
  </si>
  <si>
    <t>FIN-1004</t>
  </si>
  <si>
    <t>2008/03/12</t>
  </si>
  <si>
    <t>منى عادل خليل</t>
  </si>
  <si>
    <t>HR-2008</t>
  </si>
  <si>
    <t>2011/11/30</t>
  </si>
  <si>
    <t>باسم صبحي عيسى</t>
  </si>
  <si>
    <t>ADM-3013</t>
  </si>
  <si>
    <t>2014/05/15</t>
  </si>
  <si>
    <t>رغد عدنان حمد</t>
  </si>
  <si>
    <t>LEG-4018</t>
  </si>
  <si>
    <t>2017/08/20</t>
  </si>
  <si>
    <t>هيثم توفيق منصور</t>
  </si>
  <si>
    <t>FIN-1005</t>
  </si>
  <si>
    <t>2010/12/01</t>
  </si>
  <si>
    <t>سحر ماجد القاضي</t>
  </si>
  <si>
    <t>HR-2009</t>
  </si>
  <si>
    <t>2013/05/10</t>
  </si>
  <si>
    <t>عمار زهير الصالح</t>
  </si>
  <si>
    <t>ADM-3014</t>
  </si>
  <si>
    <t>2016/09/05</t>
  </si>
  <si>
    <t>دينا نبيل بركات</t>
  </si>
  <si>
    <t>LEG-4019</t>
  </si>
  <si>
    <t>2019/01/15</t>
  </si>
  <si>
    <t>وائل غسان حداد</t>
  </si>
  <si>
    <t>FIN-1006</t>
  </si>
  <si>
    <t>2007/04/22</t>
  </si>
  <si>
    <t>سلمى بشار الحكيم</t>
  </si>
  <si>
    <t>HR-2010</t>
  </si>
  <si>
    <t>2011/02/28</t>
  </si>
  <si>
    <t>فادي مروان سلامة</t>
  </si>
  <si>
    <t>ADM-3015</t>
  </si>
  <si>
    <t>2014/08/14</t>
  </si>
  <si>
    <t>عبير سيف الدين</t>
  </si>
  <si>
    <t>LEG-4020</t>
  </si>
  <si>
    <t>2017/12/01</t>
  </si>
  <si>
    <t>قيس حاتم الراوي</t>
  </si>
  <si>
    <t>FIN-1007</t>
  </si>
  <si>
    <t>2010/06/15</t>
  </si>
  <si>
    <t>جنى راشد العطار</t>
  </si>
  <si>
    <t>HR-2011</t>
  </si>
  <si>
    <t>2013/09/20</t>
  </si>
  <si>
    <t>مازن وفيق شاهين</t>
  </si>
  <si>
    <t>ADM-3016</t>
  </si>
  <si>
    <t>2016/04/10</t>
  </si>
  <si>
    <t>إياد فؤاد السعدي</t>
  </si>
  <si>
    <t>LEG-4021</t>
  </si>
  <si>
    <t>2019/10/05</t>
  </si>
  <si>
    <t>ندى موفق درويش</t>
  </si>
  <si>
    <t>FIN-1008</t>
  </si>
  <si>
    <t>2008/11/12</t>
  </si>
  <si>
    <t>فراس تميم العمر</t>
  </si>
  <si>
    <t>HR-2012</t>
  </si>
  <si>
    <t>2012/01/30</t>
  </si>
  <si>
    <t>هبة نزار المرعي</t>
  </si>
  <si>
    <t>ADM-3017</t>
  </si>
  <si>
    <t>2015/05/25</t>
  </si>
  <si>
    <t>طلال أسامة فوزي</t>
  </si>
  <si>
    <t>LEG-4022</t>
  </si>
  <si>
    <t>2018/08/14</t>
  </si>
  <si>
    <t>لمى نوري الشعلان</t>
  </si>
  <si>
    <t>FIN-1009</t>
  </si>
  <si>
    <t>2011/03/15</t>
  </si>
  <si>
    <t>حمزة عياش المحمد</t>
  </si>
  <si>
    <t>HR-2013</t>
  </si>
  <si>
    <t>2014/07/20</t>
  </si>
  <si>
    <t>خلود صائب بكر</t>
  </si>
  <si>
    <t>ADM-3018</t>
  </si>
  <si>
    <t>2017/11/10</t>
  </si>
  <si>
    <t>عصام رشيد عثمان</t>
  </si>
  <si>
    <t>LEG-4023</t>
  </si>
  <si>
    <t>2020/02/05</t>
  </si>
  <si>
    <t>ميادة توفيق حمدان</t>
  </si>
  <si>
    <t>FIN-1010</t>
  </si>
  <si>
    <t>2009/05/12</t>
  </si>
  <si>
    <t>باسل أكرم السعيد</t>
  </si>
  <si>
    <t>HR-2014</t>
  </si>
  <si>
    <t>2012/10/22</t>
  </si>
  <si>
    <t>نجلاء ظافر العبد</t>
  </si>
  <si>
    <t>ADM-3019</t>
  </si>
  <si>
    <t>2015/12/15</t>
  </si>
  <si>
    <t>رامي غياث طعمة</t>
  </si>
  <si>
    <t>LEG-4024</t>
  </si>
  <si>
    <t>2018/03/30</t>
  </si>
  <si>
    <t>سلوى ممدوح السيد</t>
  </si>
  <si>
    <t>FIN-1011</t>
  </si>
  <si>
    <t>2011/08/10</t>
  </si>
  <si>
    <t>بشار مؤيد جود</t>
  </si>
  <si>
    <t>HR-2015</t>
  </si>
  <si>
    <t>2014/01/25</t>
  </si>
  <si>
    <t>صفاء عصمت الرفاعي</t>
  </si>
  <si>
    <t>2017/06/14</t>
  </si>
  <si>
    <t>علاء تيسير حمود</t>
  </si>
  <si>
    <t>LEG-4025</t>
  </si>
  <si>
    <t>2020/09/01</t>
  </si>
  <si>
    <t>مروة يونس الناصر</t>
  </si>
  <si>
    <t>FIN-1012</t>
  </si>
  <si>
    <t>2010/02/20</t>
  </si>
  <si>
    <t>بشر لؤي المصري</t>
  </si>
  <si>
    <t>HR-2016</t>
  </si>
  <si>
    <t>2013/07/15</t>
  </si>
  <si>
    <t>ADM-3021</t>
  </si>
  <si>
    <t>2016/11/30</t>
  </si>
  <si>
    <t>تامر شادي الشريف</t>
  </si>
  <si>
    <t>LEG-4026</t>
  </si>
  <si>
    <t>2019/04/10</t>
  </si>
  <si>
    <t>عزة خيري بيك</t>
  </si>
  <si>
    <t>FIN-1013</t>
  </si>
  <si>
    <t>2008/09/05</t>
  </si>
  <si>
    <t>HR-2017</t>
  </si>
  <si>
    <t>2012/05/12</t>
  </si>
  <si>
    <t>عصام</t>
  </si>
  <si>
    <t>أحمد</t>
  </si>
  <si>
    <t>فاطمة</t>
  </si>
  <si>
    <t>سامر</t>
  </si>
  <si>
    <t>ليلى</t>
  </si>
  <si>
    <t>خالد</t>
  </si>
  <si>
    <t>مريم</t>
  </si>
  <si>
    <t>ياسر</t>
  </si>
  <si>
    <t>نور</t>
  </si>
  <si>
    <t>مصطفى</t>
  </si>
  <si>
    <t>هالة</t>
  </si>
  <si>
    <t>زياد</t>
  </si>
  <si>
    <t>رشا</t>
  </si>
  <si>
    <t>طارق</t>
  </si>
  <si>
    <t>منى</t>
  </si>
  <si>
    <t>باسم</t>
  </si>
  <si>
    <t>رغد</t>
  </si>
  <si>
    <t>هيثم</t>
  </si>
  <si>
    <t>سحر</t>
  </si>
  <si>
    <t>عمار</t>
  </si>
  <si>
    <t>دينا</t>
  </si>
  <si>
    <t>وائل</t>
  </si>
  <si>
    <t>سلمى</t>
  </si>
  <si>
    <t>فادي</t>
  </si>
  <si>
    <t>عبير</t>
  </si>
  <si>
    <t>قيس</t>
  </si>
  <si>
    <t>جنى</t>
  </si>
  <si>
    <t>مازن</t>
  </si>
  <si>
    <t>إياد</t>
  </si>
  <si>
    <t>ندى</t>
  </si>
  <si>
    <t>فراس</t>
  </si>
  <si>
    <t>هبة</t>
  </si>
  <si>
    <t>طلال</t>
  </si>
  <si>
    <t>لمى</t>
  </si>
  <si>
    <t>حمزة</t>
  </si>
  <si>
    <t>خلود</t>
  </si>
  <si>
    <t>ميادة</t>
  </si>
  <si>
    <t>باسل</t>
  </si>
  <si>
    <t>نجلاء</t>
  </si>
  <si>
    <t>رامي</t>
  </si>
  <si>
    <t>سلوى</t>
  </si>
  <si>
    <t>بشار</t>
  </si>
  <si>
    <t>صفاء</t>
  </si>
  <si>
    <t>علاء</t>
  </si>
  <si>
    <t>مروة</t>
  </si>
  <si>
    <t>بشر</t>
  </si>
  <si>
    <t>رانية</t>
  </si>
  <si>
    <t>تامر</t>
  </si>
  <si>
    <t>عزة</t>
  </si>
  <si>
    <t>يمان</t>
  </si>
  <si>
    <t>الاسم الأول</t>
  </si>
  <si>
    <t>الاسم الثاني</t>
  </si>
  <si>
    <t>الاسم الثالث</t>
  </si>
  <si>
    <t>محمود</t>
  </si>
  <si>
    <t>محمد</t>
  </si>
  <si>
    <t>وليد</t>
  </si>
  <si>
    <t>الرحمن</t>
  </si>
  <si>
    <t>عمر</t>
  </si>
  <si>
    <t>إبراهيم</t>
  </si>
  <si>
    <t>فايز</t>
  </si>
  <si>
    <t>الهدى</t>
  </si>
  <si>
    <t>كمال</t>
  </si>
  <si>
    <t>سمير</t>
  </si>
  <si>
    <t>مطيع</t>
  </si>
  <si>
    <t>الله</t>
  </si>
  <si>
    <t>منير</t>
  </si>
  <si>
    <t>عادل</t>
  </si>
  <si>
    <t>صبحي</t>
  </si>
  <si>
    <t>عدنان</t>
  </si>
  <si>
    <t>توفيق</t>
  </si>
  <si>
    <t>ماجد</t>
  </si>
  <si>
    <t>زهير</t>
  </si>
  <si>
    <t>نبيل</t>
  </si>
  <si>
    <t>غسان</t>
  </si>
  <si>
    <t>مروان</t>
  </si>
  <si>
    <t>سيف</t>
  </si>
  <si>
    <t>حاتم</t>
  </si>
  <si>
    <t>راشد</t>
  </si>
  <si>
    <t>وفيق</t>
  </si>
  <si>
    <t>فؤاد</t>
  </si>
  <si>
    <t>العلي</t>
  </si>
  <si>
    <t>الحسن</t>
  </si>
  <si>
    <t>الخطيب</t>
  </si>
  <si>
    <t>يوسف</t>
  </si>
  <si>
    <t>المصري</t>
  </si>
  <si>
    <t>الدالي</t>
  </si>
  <si>
    <t>الجاسم</t>
  </si>
  <si>
    <t>صالح</t>
  </si>
  <si>
    <t>الزين</t>
  </si>
  <si>
    <t>غانم</t>
  </si>
  <si>
    <t>العبود</t>
  </si>
  <si>
    <t>صقر</t>
  </si>
  <si>
    <t>الخوري</t>
  </si>
  <si>
    <t>خليل</t>
  </si>
  <si>
    <t>عيسى</t>
  </si>
  <si>
    <t>حمد</t>
  </si>
  <si>
    <t>منصور</t>
  </si>
  <si>
    <t>القاضي</t>
  </si>
  <si>
    <t>الصالح</t>
  </si>
  <si>
    <t>بركات</t>
  </si>
  <si>
    <t>حداد</t>
  </si>
  <si>
    <t>الحكيم</t>
  </si>
  <si>
    <t>سلامة</t>
  </si>
  <si>
    <t>الدين</t>
  </si>
  <si>
    <t>الراوي</t>
  </si>
  <si>
    <t>العطار</t>
  </si>
  <si>
    <t>شاهين</t>
  </si>
  <si>
    <t>السعدي</t>
  </si>
  <si>
    <t>موفق</t>
  </si>
  <si>
    <t>تميم</t>
  </si>
  <si>
    <t>نزار</t>
  </si>
  <si>
    <t>أسامة</t>
  </si>
  <si>
    <t>نوري</t>
  </si>
  <si>
    <t>عياش</t>
  </si>
  <si>
    <t>صائب</t>
  </si>
  <si>
    <t>رشيد</t>
  </si>
  <si>
    <t>أكرم</t>
  </si>
  <si>
    <t>ظافر</t>
  </si>
  <si>
    <t>غياث</t>
  </si>
  <si>
    <t>ممدوح</t>
  </si>
  <si>
    <t>مؤيد</t>
  </si>
  <si>
    <t>عصمت</t>
  </si>
  <si>
    <t>تيسير</t>
  </si>
  <si>
    <t>يونس</t>
  </si>
  <si>
    <t>لؤي</t>
  </si>
  <si>
    <t>جلال</t>
  </si>
  <si>
    <t>شادي</t>
  </si>
  <si>
    <t>خيري</t>
  </si>
  <si>
    <t>ظهير</t>
  </si>
  <si>
    <t>درويش</t>
  </si>
  <si>
    <t>العمر</t>
  </si>
  <si>
    <t>المرعي</t>
  </si>
  <si>
    <t>فوزي</t>
  </si>
  <si>
    <t>الشعلان</t>
  </si>
  <si>
    <t>المحمد</t>
  </si>
  <si>
    <t>بكر</t>
  </si>
  <si>
    <t>عثمان</t>
  </si>
  <si>
    <t>حمدان</t>
  </si>
  <si>
    <t>السعيد</t>
  </si>
  <si>
    <t>العبد</t>
  </si>
  <si>
    <t>طعمة</t>
  </si>
  <si>
    <t>السيد</t>
  </si>
  <si>
    <t>جود</t>
  </si>
  <si>
    <t>الرفاعي</t>
  </si>
  <si>
    <t>حمود</t>
  </si>
  <si>
    <t>الناصر</t>
  </si>
  <si>
    <t>عوض</t>
  </si>
  <si>
    <t>الشريف</t>
  </si>
  <si>
    <t>بيك</t>
  </si>
  <si>
    <t>السعد</t>
  </si>
  <si>
    <t>الكود الوظيفي</t>
  </si>
  <si>
    <t>عام التعيين</t>
  </si>
  <si>
    <t>Row Labels</t>
  </si>
  <si>
    <t>Grand Total</t>
  </si>
  <si>
    <t>Sum of عام التعيين</t>
  </si>
  <si>
    <t>تنظيف البيانات</t>
  </si>
  <si>
    <t>ألمعلومات الكاملة</t>
  </si>
  <si>
    <t>يمان ظهير الحسن</t>
  </si>
  <si>
    <t>البحث السريع</t>
  </si>
  <si>
    <t>أسماء الموظفين</t>
  </si>
  <si>
    <t>سنوات العمل</t>
  </si>
  <si>
    <t>الراتب</t>
  </si>
  <si>
    <t>ألرقم الوظيفي</t>
  </si>
  <si>
    <t>زيادة الراتب</t>
  </si>
  <si>
    <t>الفئة الوظيفية</t>
  </si>
  <si>
    <t>التعويضات</t>
  </si>
  <si>
    <t>المعاملة 2</t>
  </si>
  <si>
    <t>المعاملة 3</t>
  </si>
  <si>
    <t>المعاملة 4</t>
  </si>
  <si>
    <t>المعاملة 5</t>
  </si>
  <si>
    <t>المعاملة 6</t>
  </si>
  <si>
    <t>المعاملة 7</t>
  </si>
  <si>
    <t>المعاملة 8</t>
  </si>
  <si>
    <t>تم</t>
  </si>
  <si>
    <t>المعاملة</t>
  </si>
  <si>
    <t>الحالة</t>
  </si>
  <si>
    <t>التسليم</t>
  </si>
  <si>
    <t>تاريخ التسليم</t>
  </si>
  <si>
    <t>الوقت المتبقي (شهر/يوم)</t>
  </si>
  <si>
    <t>قيد المعالجة</t>
  </si>
  <si>
    <t>فشل التسليم</t>
  </si>
  <si>
    <t>غير</t>
  </si>
  <si>
    <t>معالجة الأخطاء</t>
  </si>
  <si>
    <t>المراجعة</t>
  </si>
  <si>
    <t>بانة مجد حرب</t>
  </si>
  <si>
    <t>الراتب الكامل</t>
  </si>
  <si>
    <t>R</t>
  </si>
  <si>
    <t>تامر جلال عوض</t>
  </si>
  <si>
    <t>القسم</t>
  </si>
  <si>
    <t>FIN</t>
  </si>
  <si>
    <t>HR</t>
  </si>
  <si>
    <t>ADM</t>
  </si>
  <si>
    <t>LEG</t>
  </si>
  <si>
    <t>M</t>
  </si>
  <si>
    <t>S</t>
  </si>
  <si>
    <t>عنوان الإحصاء</t>
  </si>
  <si>
    <t>العدد</t>
  </si>
  <si>
    <t>الموطفين</t>
  </si>
  <si>
    <t>COUNTIF(RANGE,"&lt;&gt;")</t>
  </si>
  <si>
    <t>الجنس</t>
  </si>
  <si>
    <t>أنثى</t>
  </si>
  <si>
    <t>ذكر</t>
  </si>
  <si>
    <t>الذكور</t>
  </si>
  <si>
    <t>الإناث</t>
  </si>
  <si>
    <t>قسم HR</t>
  </si>
  <si>
    <t>قسم FIN</t>
  </si>
  <si>
    <t>قسم ADM</t>
  </si>
  <si>
    <t>قسم LEG</t>
  </si>
  <si>
    <t>COUNTIF(RANGE,"ذكر")</t>
  </si>
  <si>
    <t>COUNTIF(RANGE,"أنثى")</t>
  </si>
  <si>
    <t>COUNTIF(RANGE,"HR")</t>
  </si>
  <si>
    <t>COUNTIF(RANGE,"FIN")</t>
  </si>
  <si>
    <t>COUNTIF(RANGE,"ADM")</t>
  </si>
  <si>
    <t>COUNTIF(RANGE,"LEG")</t>
  </si>
  <si>
    <t>&gt; 2014</t>
  </si>
  <si>
    <t>&lt; 2014</t>
  </si>
  <si>
    <t>COUNTIF(RANGE,"&gt;2014")</t>
  </si>
  <si>
    <t>COUNTIF(RANGE,"&lt;2014")</t>
  </si>
  <si>
    <t>مجموعة الرواتب</t>
  </si>
  <si>
    <t>المنظمة</t>
  </si>
  <si>
    <t>qa</t>
  </si>
  <si>
    <t>qw</t>
  </si>
  <si>
    <t>qs</t>
  </si>
  <si>
    <t>qe</t>
  </si>
  <si>
    <t>qf</t>
  </si>
  <si>
    <t>we</t>
  </si>
  <si>
    <t>sd</t>
  </si>
  <si>
    <t>fd</t>
  </si>
  <si>
    <t>er</t>
  </si>
  <si>
    <t>gf</t>
  </si>
  <si>
    <t>rt</t>
  </si>
  <si>
    <t>fgs</t>
  </si>
  <si>
    <t>ألعدد</t>
  </si>
  <si>
    <t>Column3</t>
  </si>
  <si>
    <t>التحويل</t>
  </si>
  <si>
    <t>معالجة</t>
  </si>
  <si>
    <t>النتيجة</t>
  </si>
  <si>
    <t>أعلى راتب</t>
  </si>
  <si>
    <t>أقل راتب</t>
  </si>
  <si>
    <t>متوسط الرواتب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</si>
</sst>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;@"/>
    <numFmt numFmtId="166" formatCode="m/d/yyyy;@"/>
  </numFmts>
  <fonts count="1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theme="0"/>
      <name val="Arial"/>
      <family val="2"/>
    </font>
    <font>
      <sz val="14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24"/>
      <color theme="0"/>
      <name val="Arial"/>
      <family val="2"/>
      <scheme val="minor"/>
    </font>
    <font>
      <sz val="16"/>
      <name val="Arial"/>
      <family val="2"/>
      <scheme val="minor"/>
    </font>
    <font>
      <b/>
      <sz val="16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6" fillId="5" borderId="0" xfId="0" applyFont="1" applyFill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6" fillId="5" borderId="7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indent="1"/>
    </xf>
    <xf numFmtId="0" fontId="0" fillId="2" borderId="0" xfId="0" applyFill="1" applyAlignment="1">
      <alignment horizontal="center" vertical="center"/>
    </xf>
    <xf numFmtId="0" fontId="0" fillId="7" borderId="10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9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14" fontId="0" fillId="6" borderId="4" xfId="0" applyNumberFormat="1" applyFill="1" applyBorder="1" applyAlignment="1">
      <alignment horizont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0" fillId="8" borderId="15" xfId="1" applyFont="1" applyFill="1" applyBorder="1" applyAlignment="1">
      <alignment horizontal="center" vertical="center"/>
    </xf>
    <xf numFmtId="0" fontId="10" fillId="8" borderId="0" xfId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166" fontId="12" fillId="4" borderId="6" xfId="0" applyNumberFormat="1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166" fontId="3" fillId="6" borderId="10" xfId="0" applyNumberFormat="1" applyFont="1" applyFill="1" applyBorder="1" applyAlignment="1">
      <alignment horizontal="center" vertical="center" wrapText="1"/>
    </xf>
    <xf numFmtId="1" fontId="3" fillId="6" borderId="10" xfId="0" applyNumberFormat="1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166" fontId="3" fillId="7" borderId="4" xfId="0" applyNumberFormat="1" applyFont="1" applyFill="1" applyBorder="1" applyAlignment="1">
      <alignment horizontal="center" vertical="center" wrapText="1"/>
    </xf>
    <xf numFmtId="1" fontId="3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166" fontId="3" fillId="6" borderId="4" xfId="0" applyNumberFormat="1" applyFont="1" applyFill="1" applyBorder="1" applyAlignment="1">
      <alignment horizontal="center" vertical="center" wrapText="1"/>
    </xf>
    <xf numFmtId="1" fontId="3" fillId="6" borderId="4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4" fillId="3" borderId="1" xfId="0" quotePrefix="1" applyFont="1" applyFill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1" fillId="8" borderId="12" xfId="1" applyFill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0" fontId="1" fillId="8" borderId="14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Y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'الرسوم البيانية'!$A$3:$A$15</c:f>
              <c:strCache>
                <c:ptCount val="13"/>
                <c:pt idx="0">
                  <c:v>qa</c:v>
                </c:pt>
                <c:pt idx="1">
                  <c:v>qw</c:v>
                </c:pt>
                <c:pt idx="2">
                  <c:v>qs</c:v>
                </c:pt>
                <c:pt idx="3">
                  <c:v>qe</c:v>
                </c:pt>
                <c:pt idx="4">
                  <c:v>qf</c:v>
                </c:pt>
                <c:pt idx="5">
                  <c:v>we</c:v>
                </c:pt>
                <c:pt idx="6">
                  <c:v>sd</c:v>
                </c:pt>
                <c:pt idx="7">
                  <c:v>fd</c:v>
                </c:pt>
                <c:pt idx="8">
                  <c:v>er</c:v>
                </c:pt>
                <c:pt idx="9">
                  <c:v>gf</c:v>
                </c:pt>
                <c:pt idx="10">
                  <c:v>rt</c:v>
                </c:pt>
                <c:pt idx="11">
                  <c:v>fd</c:v>
                </c:pt>
                <c:pt idx="12">
                  <c:v>fgs</c:v>
                </c:pt>
              </c:strCache>
            </c:strRef>
          </c:cat>
          <c:val>
            <c:numRef>
              <c:f>'الرسوم البيانية'!$B$3:$B$15</c:f>
              <c:numCache>
                <c:formatCode>General</c:formatCode>
                <c:ptCount val="13"/>
                <c:pt idx="0">
                  <c:v>2654</c:v>
                </c:pt>
                <c:pt idx="1">
                  <c:v>4856</c:v>
                </c:pt>
                <c:pt idx="2">
                  <c:v>5861</c:v>
                </c:pt>
                <c:pt idx="3">
                  <c:v>1235</c:v>
                </c:pt>
                <c:pt idx="4">
                  <c:v>1564</c:v>
                </c:pt>
                <c:pt idx="5">
                  <c:v>8945</c:v>
                </c:pt>
                <c:pt idx="6">
                  <c:v>5644</c:v>
                </c:pt>
                <c:pt idx="7">
                  <c:v>5465</c:v>
                </c:pt>
                <c:pt idx="8">
                  <c:v>879</c:v>
                </c:pt>
                <c:pt idx="9">
                  <c:v>8978</c:v>
                </c:pt>
                <c:pt idx="10">
                  <c:v>5847</c:v>
                </c:pt>
                <c:pt idx="11">
                  <c:v>4123</c:v>
                </c:pt>
                <c:pt idx="12">
                  <c:v>3214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ED7-4953-8D5B-96A612BEBC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34687456"/>
        <c:axId val="2134686496"/>
      </c:barChart>
      <c:catAx>
        <c:axId val="21346874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2134686496"/>
        <c:crosses val="autoZero"/>
        <c:auto val="1"/>
        <c:lblAlgn val="ctr"/>
        <c:lblOffset val="100"/>
        <c:noMultiLvlLbl val="0"/>
      </c:catAx>
      <c:valAx>
        <c:axId val="2134686496"/>
        <c:scaling>
          <c:orientation val="minMax"/>
        </c:scaling>
        <c:delete val="1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3468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1576;&#1610;&#1575;&#1606;&#1575;&#1578; &#1575;&#1604;&#1605;&#1578;&#1583;&#1585;&#1576;&#1610;&#1606;'!A1"/><Relationship Id="rId2" Type="http://schemas.openxmlformats.org/officeDocument/2006/relationships/hyperlink" Target="#'&#1575;&#1604;&#1605;&#1593;&#1575;&#1605;&#1604;&#1575;&#1578; &#1575;&#1604;&#1608;&#1589;&#1601;&#1610;&#1577;'!A1"/><Relationship Id="rId1" Type="http://schemas.openxmlformats.org/officeDocument/2006/relationships/hyperlink" Target="#&#1575;&#1604;&#1576;&#1581;&#1579;!A1"/><Relationship Id="rId5" Type="http://schemas.openxmlformats.org/officeDocument/2006/relationships/hyperlink" Target="#&#1575;&#1604;&#1573;&#1581;&#1589;&#1575;&#1569;!A1"/><Relationship Id="rId4" Type="http://schemas.openxmlformats.org/officeDocument/2006/relationships/hyperlink" Target="#'&#1575;&#1604;&#1605;&#1593;&#1575;&#1605;&#1604;&#1575;&#1578; &#1575;&#1604;&#1605;&#1575;&#1604;&#1610;&#1577;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575;&#1604;&#1589;&#1601;&#1581;&#1577; &#1575;&#1604;&#1585;&#1574;&#1610;&#1587;&#1610;&#1577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0</xdr:row>
      <xdr:rowOff>30480</xdr:rowOff>
    </xdr:from>
    <xdr:to>
      <xdr:col>14</xdr:col>
      <xdr:colOff>594360</xdr:colOff>
      <xdr:row>27</xdr:row>
      <xdr:rowOff>30480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ADD4FC1-6F35-A004-4D6B-D26DF4D1E31A}"/>
            </a:ext>
          </a:extLst>
        </xdr:cNvPr>
        <xdr:cNvSpPr/>
      </xdr:nvSpPr>
      <xdr:spPr>
        <a:xfrm>
          <a:off x="10976472840" y="30480"/>
          <a:ext cx="7833360" cy="4732020"/>
        </a:xfrm>
        <a:prstGeom prst="roundRect">
          <a:avLst/>
        </a:prstGeom>
        <a:gradFill flip="none" rotWithShape="1">
          <a:gsLst>
            <a:gs pos="0">
              <a:schemeClr val="accent1">
                <a:tint val="50000"/>
                <a:satMod val="300000"/>
              </a:schemeClr>
            </a:gs>
            <a:gs pos="35000">
              <a:schemeClr val="accent1">
                <a:tint val="37000"/>
                <a:satMod val="300000"/>
              </a:schemeClr>
            </a:gs>
            <a:gs pos="100000">
              <a:schemeClr val="accent1">
                <a:tint val="15000"/>
                <a:satMod val="350000"/>
              </a:schemeClr>
            </a:gs>
          </a:gsLst>
          <a:lin ang="2700000" scaled="1"/>
          <a:tileRect/>
        </a:gradFill>
        <a:ln w="38100"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Y" sz="1100" b="0" cap="none" spc="0">
            <a:ln w="0"/>
            <a:solidFill>
              <a:schemeClr val="tx1">
                <a:lumMod val="50000"/>
                <a:lumOff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632460</xdr:colOff>
      <xdr:row>1</xdr:row>
      <xdr:rowOff>106680</xdr:rowOff>
    </xdr:from>
    <xdr:to>
      <xdr:col>12</xdr:col>
      <xdr:colOff>358140</xdr:colOff>
      <xdr:row>6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8D3C37-4A8B-0660-5AE5-BC9DAA3B275D}"/>
            </a:ext>
          </a:extLst>
        </xdr:cNvPr>
        <xdr:cNvSpPr txBox="1"/>
      </xdr:nvSpPr>
      <xdr:spPr>
        <a:xfrm>
          <a:off x="10978050180" y="281940"/>
          <a:ext cx="5090160" cy="9296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Y" sz="3600" b="1">
              <a:cs typeface="Akhbar MT" pitchFamily="2" charset="-78"/>
            </a:rPr>
            <a:t>وزارة الشؤون الاجتماعية</a:t>
          </a:r>
        </a:p>
      </xdr:txBody>
    </xdr:sp>
    <xdr:clientData/>
  </xdr:twoCellAnchor>
  <xdr:twoCellAnchor>
    <xdr:from>
      <xdr:col>3</xdr:col>
      <xdr:colOff>655320</xdr:colOff>
      <xdr:row>8</xdr:row>
      <xdr:rowOff>68580</xdr:rowOff>
    </xdr:from>
    <xdr:to>
      <xdr:col>6</xdr:col>
      <xdr:colOff>419100</xdr:colOff>
      <xdr:row>13</xdr:row>
      <xdr:rowOff>45720</xdr:rowOff>
    </xdr:to>
    <xdr:sp macro="" textlink="">
      <xdr:nvSpPr>
        <xdr:cNvPr id="6" name="Oval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EFB57C-4114-E2E5-B988-5055FDF32DA6}"/>
            </a:ext>
          </a:extLst>
        </xdr:cNvPr>
        <xdr:cNvSpPr/>
      </xdr:nvSpPr>
      <xdr:spPr>
        <a:xfrm>
          <a:off x="10982012580" y="1470660"/>
          <a:ext cx="1775460" cy="853440"/>
        </a:xfrm>
        <a:prstGeom prst="ellipse">
          <a:avLst/>
        </a:prstGeom>
        <a:ln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000" b="1"/>
            <a:t>البحث</a:t>
          </a:r>
          <a:endParaRPr lang="ar-SY" sz="2400" b="1"/>
        </a:p>
      </xdr:txBody>
    </xdr:sp>
    <xdr:clientData/>
  </xdr:twoCellAnchor>
  <xdr:twoCellAnchor>
    <xdr:from>
      <xdr:col>7</xdr:col>
      <xdr:colOff>320040</xdr:colOff>
      <xdr:row>15</xdr:row>
      <xdr:rowOff>22860</xdr:rowOff>
    </xdr:from>
    <xdr:to>
      <xdr:col>10</xdr:col>
      <xdr:colOff>83820</xdr:colOff>
      <xdr:row>20</xdr:row>
      <xdr:rowOff>0</xdr:rowOff>
    </xdr:to>
    <xdr:sp macro="" textlink="">
      <xdr:nvSpPr>
        <xdr:cNvPr id="13" name="Oval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79384C-432B-4274-A1A6-E74E2A7CBCB4}"/>
            </a:ext>
          </a:extLst>
        </xdr:cNvPr>
        <xdr:cNvSpPr/>
      </xdr:nvSpPr>
      <xdr:spPr>
        <a:xfrm>
          <a:off x="10979665620" y="2651760"/>
          <a:ext cx="1775460" cy="853440"/>
        </a:xfrm>
        <a:prstGeom prst="ellipse">
          <a:avLst/>
        </a:prstGeom>
        <a:ln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1600" b="1"/>
            <a:t>جدول</a:t>
          </a:r>
          <a:r>
            <a:rPr lang="ar-SY" sz="1600" b="1" baseline="0"/>
            <a:t> المعاملات</a:t>
          </a:r>
          <a:endParaRPr lang="ar-SY" sz="1600" b="1"/>
        </a:p>
      </xdr:txBody>
    </xdr:sp>
    <xdr:clientData/>
  </xdr:twoCellAnchor>
  <xdr:twoCellAnchor>
    <xdr:from>
      <xdr:col>7</xdr:col>
      <xdr:colOff>373380</xdr:colOff>
      <xdr:row>8</xdr:row>
      <xdr:rowOff>91440</xdr:rowOff>
    </xdr:from>
    <xdr:to>
      <xdr:col>10</xdr:col>
      <xdr:colOff>137160</xdr:colOff>
      <xdr:row>13</xdr:row>
      <xdr:rowOff>68580</xdr:rowOff>
    </xdr:to>
    <xdr:sp macro="" textlink="">
      <xdr:nvSpPr>
        <xdr:cNvPr id="14" name="Oval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123DFB-07F0-4AC2-9405-1BFF2EFB22B7}"/>
            </a:ext>
          </a:extLst>
        </xdr:cNvPr>
        <xdr:cNvSpPr/>
      </xdr:nvSpPr>
      <xdr:spPr>
        <a:xfrm>
          <a:off x="10979612280" y="1493520"/>
          <a:ext cx="1775460" cy="853440"/>
        </a:xfrm>
        <a:prstGeom prst="ellipse">
          <a:avLst/>
        </a:prstGeom>
        <a:ln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1600" b="1"/>
            <a:t>بيانات الموظفين</a:t>
          </a:r>
        </a:p>
      </xdr:txBody>
    </xdr:sp>
    <xdr:clientData/>
  </xdr:twoCellAnchor>
  <xdr:twoCellAnchor>
    <xdr:from>
      <xdr:col>11</xdr:col>
      <xdr:colOff>83820</xdr:colOff>
      <xdr:row>8</xdr:row>
      <xdr:rowOff>91440</xdr:rowOff>
    </xdr:from>
    <xdr:to>
      <xdr:col>13</xdr:col>
      <xdr:colOff>518160</xdr:colOff>
      <xdr:row>13</xdr:row>
      <xdr:rowOff>68580</xdr:rowOff>
    </xdr:to>
    <xdr:sp macro="" textlink="">
      <xdr:nvSpPr>
        <xdr:cNvPr id="15" name="Oval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45F546-CB0C-4147-B910-02053AA8B223}"/>
            </a:ext>
          </a:extLst>
        </xdr:cNvPr>
        <xdr:cNvSpPr/>
      </xdr:nvSpPr>
      <xdr:spPr>
        <a:xfrm>
          <a:off x="10977219600" y="1493520"/>
          <a:ext cx="1775460" cy="853440"/>
        </a:xfrm>
        <a:prstGeom prst="ellipse">
          <a:avLst/>
        </a:prstGeom>
        <a:ln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000" b="1"/>
            <a:t>الرواتب</a:t>
          </a:r>
        </a:p>
      </xdr:txBody>
    </xdr:sp>
    <xdr:clientData/>
  </xdr:twoCellAnchor>
  <xdr:twoCellAnchor>
    <xdr:from>
      <xdr:col>3</xdr:col>
      <xdr:colOff>632460</xdr:colOff>
      <xdr:row>15</xdr:row>
      <xdr:rowOff>15240</xdr:rowOff>
    </xdr:from>
    <xdr:to>
      <xdr:col>6</xdr:col>
      <xdr:colOff>396240</xdr:colOff>
      <xdr:row>19</xdr:row>
      <xdr:rowOff>167640</xdr:rowOff>
    </xdr:to>
    <xdr:sp macro="" textlink="">
      <xdr:nvSpPr>
        <xdr:cNvPr id="16" name="Oval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FB1D00-F073-4F92-B967-74737949E488}"/>
            </a:ext>
          </a:extLst>
        </xdr:cNvPr>
        <xdr:cNvSpPr/>
      </xdr:nvSpPr>
      <xdr:spPr>
        <a:xfrm>
          <a:off x="10982035440" y="2644140"/>
          <a:ext cx="1775460" cy="853440"/>
        </a:xfrm>
        <a:prstGeom prst="ellipse">
          <a:avLst/>
        </a:prstGeom>
        <a:ln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1800" b="1"/>
            <a:t>الإحصاء</a:t>
          </a:r>
        </a:p>
      </xdr:txBody>
    </xdr:sp>
    <xdr:clientData/>
  </xdr:twoCellAnchor>
  <xdr:twoCellAnchor>
    <xdr:from>
      <xdr:col>11</xdr:col>
      <xdr:colOff>53340</xdr:colOff>
      <xdr:row>15</xdr:row>
      <xdr:rowOff>76200</xdr:rowOff>
    </xdr:from>
    <xdr:to>
      <xdr:col>13</xdr:col>
      <xdr:colOff>487680</xdr:colOff>
      <xdr:row>20</xdr:row>
      <xdr:rowOff>53340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EF48F3C-2CC6-4381-B4CB-9601C972D47D}"/>
            </a:ext>
          </a:extLst>
        </xdr:cNvPr>
        <xdr:cNvSpPr/>
      </xdr:nvSpPr>
      <xdr:spPr>
        <a:xfrm>
          <a:off x="10977250080" y="2705100"/>
          <a:ext cx="1775460" cy="853440"/>
        </a:xfrm>
        <a:prstGeom prst="ellipse">
          <a:avLst/>
        </a:prstGeom>
        <a:ln>
          <a:solidFill>
            <a:schemeClr val="tx1">
              <a:lumMod val="95000"/>
              <a:lumOff val="5000"/>
            </a:schemeClr>
          </a:solidFill>
        </a:ln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1600" b="1"/>
            <a:t>الرسوم البيانية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156307</xdr:colOff>
      <xdr:row>0</xdr:row>
      <xdr:rowOff>174381</xdr:rowOff>
    </xdr:from>
    <xdr:to>
      <xdr:col>10</xdr:col>
      <xdr:colOff>85481</xdr:colOff>
      <xdr:row>16</xdr:row>
      <xdr:rowOff>83039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2EE71-D9E4-4F19-4A07-4F682AA92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7</xdr:col>
      <xdr:colOff>53662</xdr:colOff>
      <xdr:row>28</xdr:row>
      <xdr:rowOff>257577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C046D-1083-51F7-883C-653C0E35438A}"/>
            </a:ext>
          </a:extLst>
        </xdr:cNvPr>
        <xdr:cNvSpPr/>
      </xdr:nvSpPr>
      <xdr:spPr>
        <a:xfrm>
          <a:off x="28298018366" y="0"/>
          <a:ext cx="1781578" cy="80707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Y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32.925420023152" backgroundQuery="1" createdVersion="8" refreshedVersion="8" minRefreshableVersion="3" recordCount="0" supportSubquery="1" supportAdvancedDrill="1" xr:uid="{BB3CADB7-7C83-472F-8458-EB98910D36A1}">
  <cacheSource type="external" connectionId="1"/>
  <cacheFields count="3">
    <cacheField name="[Range].[تنظيف البيانات].[تنظيف البيانات]" caption="تنظيف البيانات" numFmtId="0" hierarchy="5" level="1">
      <sharedItems count="50">
        <s v="إياد فؤاد السعدي"/>
        <s v="باسل أكرم السعيد"/>
        <s v="باسم صبحي عيسى"/>
        <s v="بانة مجد حرب"/>
        <s v="بشار مؤيد جود"/>
        <s v="بشر لؤي المصري"/>
        <s v="تامر جلال عوض"/>
        <s v="تامر شادي الشريف"/>
        <s v="جنى راشد العطار"/>
        <s v="حمزة عياش المحمد"/>
        <s v="خالد عمر المصري"/>
        <s v="خلود صائب بكر"/>
        <s v="دينا نبيل بركات"/>
        <s v="رامي غياث طعمة"/>
        <s v="رشا عبد الله صقر"/>
        <s v="رغد عدنان حمد"/>
        <s v="زياد مطيع العبود"/>
        <s v="سامر وليد الخطيب"/>
        <s v="سحر ماجد القاضي"/>
        <s v="سلمى بشار الحكيم"/>
        <s v="سلوى ممدوح السيد"/>
        <s v="صفاء عصمت الرفاعي"/>
        <s v="طارق منير الخوري"/>
        <s v="طلال أسامة فوزي"/>
        <s v="عبير سيف الدين"/>
        <s v="عزة خيري بيك"/>
        <s v="عصام رشيد عثمان"/>
        <s v="علاء تيسير حمود"/>
        <s v="عمار زهير الصالح"/>
        <s v="فادي مروان سلامة"/>
        <s v="فاطمة محمود الحسن"/>
        <s v="فراس تميم العمر"/>
        <s v="قيس حاتم الراوي"/>
        <s v="لمى نوري الشعلان"/>
        <s v="ليلى عبد الرحمن يوسف"/>
        <s v="مازن وفيق شاهين"/>
        <s v="مروة يونس الناصر"/>
        <s v="مريم إبراهيم الدالي"/>
        <s v="مصطفى كمال الزين"/>
        <s v="منى عادل خليل"/>
        <s v="ميادة توفيق حمدان"/>
        <s v="نجلاء ظافر العبد"/>
        <s v="ندى موفق درويش"/>
        <s v="نور الهدى صالح"/>
        <s v="هالة سمير غانم"/>
        <s v="هبة نزار المرعي"/>
        <s v="هيثم توفيق منصور"/>
        <s v="وائل غسان حداد"/>
        <s v="ياسر فايز الجاسم"/>
        <s v="يمان ظهير الحسن"/>
      </sharedItems>
    </cacheField>
    <cacheField name="[Range].[الرقم الوظيفي-القسم].[الرقم الوظيفي-القسم]" caption="الرقم الوظيفي-القسم" numFmtId="0" hierarchy="7" level="1">
      <sharedItems count="49">
        <s v="LEG-4021"/>
        <s v="HR-2014"/>
        <s v="ADM-3013"/>
        <s v="FIN-1001"/>
        <s v="HR-2015"/>
        <s v="HR-2016"/>
        <s v="ADM-3021"/>
        <s v="LEG-4026"/>
        <s v="HR-2011"/>
        <s v="HR-2013"/>
        <s v="FIN-1002"/>
        <s v="ADM-3018"/>
        <s v="LEG-4019"/>
        <s v="LEG-4024"/>
        <s v="LEG-4017"/>
        <s v="LEG-4018"/>
        <s v="ADM-3012"/>
        <s v="ADM-3010"/>
        <s v="HR-2009"/>
        <s v="HR-2010"/>
        <s v="FIN-1011"/>
        <s v="FIN-1004"/>
        <s v="LEG-4022"/>
        <s v="LEG-4020"/>
        <s v="FIN-1013"/>
        <s v="LEG-4023"/>
        <s v="LEG-4025"/>
        <s v="ADM-3014"/>
        <s v="ADM-3015"/>
        <s v="HR-2005"/>
        <s v="HR-2012"/>
        <s v="FIN-1007"/>
        <s v="FIN-1009"/>
        <s v="LEG-4015"/>
        <s v="ADM-3016"/>
        <s v="FIN-1012"/>
        <s v="HR-2006"/>
        <s v="FIN-1003"/>
        <s v="HR-2008"/>
        <s v="FIN-1010"/>
        <s v="ADM-3019"/>
        <s v="FIN-1008"/>
        <s v="LEG-4016"/>
        <s v="HR-2007"/>
        <s v="ADM-3017"/>
        <s v="FIN-1005"/>
        <s v="FIN-1006"/>
        <s v="ADM-3011"/>
        <s v="HR-2017"/>
      </sharedItems>
    </cacheField>
    <cacheField name="[Measures].[Sum of عام التعيين]" caption="Sum of عام التعيين" numFmtId="0" hierarchy="55" level="32767"/>
  </cacheFields>
  <cacheHierarchies count="62">
    <cacheHierarchy uniqueName="[QQ].[عنوان الإحصاء]" caption="عنوان الإحصاء" attribute="1" defaultMemberUniqueName="[QQ].[عنوان الإحصاء].[All]" allUniqueName="[QQ].[عنوان الإحصاء].[All]" dimensionUniqueName="[QQ]" displayFolder="" count="0" memberValueDatatype="130" unbalanced="0"/>
    <cacheHierarchy uniqueName="[QQ].[العدد]" caption="العدد" attribute="1" defaultMemberUniqueName="[QQ].[العدد].[All]" allUniqueName="[QQ].[العدد].[All]" dimensionUniqueName="[QQ]" displayFolder="" count="0" memberValueDatatype="5" unbalanced="0"/>
    <cacheHierarchy uniqueName="[Range].[الاسم الثالث]" caption="الاسم الثالث" attribute="1" defaultMemberUniqueName="[Range].[الاسم الثالث].[All]" allUniqueName="[Range].[الاسم الثالث].[All]" dimensionUniqueName="[Range]" displayFolder="" count="0" memberValueDatatype="130" unbalanced="0"/>
    <cacheHierarchy uniqueName="[Range].[الاسم الثاني]" caption="الاسم الثاني" attribute="1" defaultMemberUniqueName="[Range].[الاسم الثاني].[All]" allUniqueName="[Range].[الاسم الثاني].[All]" dimensionUniqueName="[Range]" displayFolder="" count="0" memberValueDatatype="130" unbalanced="0"/>
    <cacheHierarchy uniqueName="[Range].[الاسم الأول]" caption="الاسم الأول" attribute="1" defaultMemberUniqueName="[Range].[الاسم الأول].[All]" allUniqueName="[Range].[الاسم الأول].[All]" dimensionUniqueName="[Range]" displayFolder="" count="0" memberValueDatatype="130" unbalanced="0"/>
    <cacheHierarchy uniqueName="[Range].[تنظيف البيانات]" caption="تنظيف البيانات" attribute="1" defaultMemberUniqueName="[Range].[تنظيف البيانات].[All]" allUniqueName="[Range].[تنظيف البيانات].[All]" dimensionUniqueName="[Range]" displayFolder="" count="2" memberValueDatatype="130" unbalanced="0">
      <fieldsUsage count="2">
        <fieldUsage x="-1"/>
        <fieldUsage x="0"/>
      </fieldsUsage>
    </cacheHierarchy>
    <cacheHierarchy uniqueName="[Range].[الجنس]" caption="الجنس" attribute="1" defaultMemberUniqueName="[Range].[الجنس].[All]" allUniqueName="[Range].[الجنس].[All]" dimensionUniqueName="[Range]" displayFolder="" count="0" memberValueDatatype="130" unbalanced="0"/>
    <cacheHierarchy uniqueName="[Range].[الرقم الوظيفي-القسم]" caption="الرقم الوظيفي-القسم" attribute="1" defaultMemberUniqueName="[Range].[الرقم الوظيفي-القسم].[All]" allUniqueName="[Range].[الرقم الوظيفي-القسم].[All]" dimensionUniqueName="[Range]" displayFolder="" count="2" memberValueDatatype="130" unbalanced="0">
      <fieldsUsage count="2">
        <fieldUsage x="-1"/>
        <fieldUsage x="1"/>
      </fieldsUsage>
    </cacheHierarchy>
    <cacheHierarchy uniqueName="[Range].[القسم]" caption="القسم" attribute="1" defaultMemberUniqueName="[Range].[القسم].[All]" allUniqueName="[Range].[القسم].[All]" dimensionUniqueName="[Range]" displayFolder="" count="0" memberValueDatatype="130" unbalanced="0"/>
    <cacheHierarchy uniqueName="[Range].[عام التعيين]" caption="عام التعيين" attribute="1" defaultMemberUniqueName="[Range].[عام التعيين].[All]" allUniqueName="[Range].[عام التعيين].[All]" dimensionUniqueName="[Range]" displayFolder="" count="0" memberValueDatatype="20" unbalanced="0"/>
    <cacheHierarchy uniqueName="[Range].[تاريخ التعيين]" caption="تاريخ التعيين" attribute="1" defaultMemberUniqueName="[Range].[تاريخ التعيين].[All]" allUniqueName="[Range].[تاريخ التعيين].[All]" dimensionUniqueName="[Range]" displayFolder="" count="0" memberValueDatatype="130" unbalanced="0"/>
    <cacheHierarchy uniqueName="[Range].[ألمعلومات الكاملة]" caption="ألمعلومات الكاملة" attribute="1" defaultMemberUniqueName="[Range].[ألمعلومات الكاملة].[All]" allUniqueName="[Range].[ألمعلومات الكاملة].[All]" dimensionUniqueName="[Range]" displayFolder="" count="0" memberValueDatatype="130" unbalanced="0"/>
    <cacheHierarchy uniqueName="[Table4].[الكود الوظيفي]" caption="الكود الوظيفي" attribute="1" defaultMemberUniqueName="[Table4].[الكود الوظيفي].[All]" allUniqueName="[Table4].[الكود الوظيفي].[All]" dimensionUniqueName="[Table4]" displayFolder="" count="0" memberValueDatatype="20" unbalanced="0"/>
    <cacheHierarchy uniqueName="[Table4].[الاسم الثالث]" caption="الاسم الثالث" attribute="1" defaultMemberUniqueName="[Table4].[الاسم الثالث].[All]" allUniqueName="[Table4].[الاسم الثالث].[All]" dimensionUniqueName="[Table4]" displayFolder="" count="0" memberValueDatatype="130" unbalanced="0"/>
    <cacheHierarchy uniqueName="[Table4].[الاسم الثاني]" caption="الاسم الثاني" attribute="1" defaultMemberUniqueName="[Table4].[الاسم الثاني].[All]" allUniqueName="[Table4].[الاسم الثاني].[All]" dimensionUniqueName="[Table4]" displayFolder="" count="0" memberValueDatatype="130" unbalanced="0"/>
    <cacheHierarchy uniqueName="[Table4].[الاسم الأول]" caption="الاسم الأول" attribute="1" defaultMemberUniqueName="[Table4].[الاسم الأول].[All]" allUniqueName="[Table4].[الاسم الأول].[All]" dimensionUniqueName="[Table4]" displayFolder="" count="0" memberValueDatatype="130" unbalanced="0"/>
    <cacheHierarchy uniqueName="[Table4].[تنظيف البيانات]" caption="تنظيف البيانات" attribute="1" defaultMemberUniqueName="[Table4].[تنظيف البيانات].[All]" allUniqueName="[Table4].[تنظيف البيانات].[All]" dimensionUniqueName="[Table4]" displayFolder="" count="0" memberValueDatatype="130" unbalanced="0"/>
    <cacheHierarchy uniqueName="[Table4].[الجنس]" caption="الجنس" attribute="1" defaultMemberUniqueName="[Table4].[الجنس].[All]" allUniqueName="[Table4].[الجنس].[All]" dimensionUniqueName="[Table4]" displayFolder="" count="0" memberValueDatatype="130" unbalanced="0"/>
    <cacheHierarchy uniqueName="[Table4].[الرقم الوظيفي-القسم]" caption="الرقم الوظيفي-القسم" attribute="1" defaultMemberUniqueName="[Table4].[الرقم الوظيفي-القسم].[All]" allUniqueName="[Table4].[الرقم الوظيفي-القسم].[All]" dimensionUniqueName="[Table4]" displayFolder="" count="0" memberValueDatatype="130" unbalanced="0"/>
    <cacheHierarchy uniqueName="[Table4].[القسم]" caption="القسم" attribute="1" defaultMemberUniqueName="[Table4].[القسم].[All]" allUniqueName="[Table4].[القسم].[All]" dimensionUniqueName="[Table4]" displayFolder="" count="0" memberValueDatatype="130" unbalanced="0"/>
    <cacheHierarchy uniqueName="[Table4].[عام التعيين]" caption="عام التعيين" attribute="1" defaultMemberUniqueName="[Table4].[عام التعيين].[All]" allUniqueName="[Table4].[عام التعيين].[All]" dimensionUniqueName="[Table4]" displayFolder="" count="0" memberValueDatatype="20" unbalanced="0"/>
    <cacheHierarchy uniqueName="[Table4].[تاريخ التعيين]" caption="تاريخ التعيين" attribute="1" defaultMemberUniqueName="[Table4].[تاريخ التعيين].[All]" allUniqueName="[Table4].[تاريخ التعيين].[All]" dimensionUniqueName="[Table4]" displayFolder="" count="0" memberValueDatatype="130" unbalanced="0"/>
    <cacheHierarchy uniqueName="[Table4].[ألمعلومات الكاملة]" caption="ألمعلومات الكاملة" attribute="1" defaultMemberUniqueName="[Table4].[ألمعلومات الكاملة].[All]" allUniqueName="[Table4].[ألمعلومات الكاملة].[All]" dimensionUniqueName="[Table4]" displayFolder="" count="0" memberValueDatatype="130" unbalanced="0"/>
    <cacheHierarchy uniqueName="[Table5].[ألرقم الوظيفي]" caption="ألرقم الوظيفي" attribute="1" defaultMemberUniqueName="[Table5].[ألرقم الوظيفي].[All]" allUniqueName="[Table5].[ألرقم الوظيفي].[All]" dimensionUniqueName="[Table5]" displayFolder="" count="0" memberValueDatatype="20" unbalanced="0"/>
    <cacheHierarchy uniqueName="[Table5].[أسماء الموظفين]" caption="أسماء الموظفين" attribute="1" defaultMemberUniqueName="[Table5].[أسماء الموظفين].[All]" allUniqueName="[Table5].[أسماء الموظفين].[All]" dimensionUniqueName="[Table5]" displayFolder="" count="0" memberValueDatatype="130" unbalanced="0"/>
    <cacheHierarchy uniqueName="[Table5].[تاريخ التعيين]" caption="تاريخ التعيين" attribute="1" defaultMemberUniqueName="[Table5].[تاريخ التعيين].[All]" allUniqueName="[Table5].[تاريخ التعيين].[All]" dimensionUniqueName="[Table5]" displayFolder="" count="0" memberValueDatatype="130" unbalanced="0"/>
    <cacheHierarchy uniqueName="[Table5].[سنوات العمل]" caption="سنوات العمل" attribute="1" defaultMemberUniqueName="[Table5].[سنوات العمل].[All]" allUniqueName="[Table5].[سنوات العمل].[All]" dimensionUniqueName="[Table5]" displayFolder="" count="0" memberValueDatatype="20" unbalanced="0"/>
    <cacheHierarchy uniqueName="[Table5].[الراتب]" caption="الراتب" attribute="1" defaultMemberUniqueName="[Table5].[الراتب].[All]" allUniqueName="[Table5].[الراتب].[All]" dimensionUniqueName="[Table5]" displayFolder="" count="0" memberValueDatatype="20" unbalanced="0"/>
    <cacheHierarchy uniqueName="[Table5].[زيادة الراتب]" caption="زيادة الراتب" attribute="1" defaultMemberUniqueName="[Table5].[زيادة الراتب].[All]" allUniqueName="[Table5].[زيادة الراتب].[All]" dimensionUniqueName="[Table5]" displayFolder="" count="0" memberValueDatatype="5" unbalanced="0"/>
    <cacheHierarchy uniqueName="[Table5].[الراتب الكامل]" caption="الراتب الكامل" attribute="1" defaultMemberUniqueName="[Table5].[الراتب الكامل].[All]" allUniqueName="[Table5].[الراتب الكامل].[All]" dimensionUniqueName="[Table5]" displayFolder="" count="0" memberValueDatatype="5" unbalanced="0"/>
    <cacheHierarchy uniqueName="[Table5].[الفئة الوظيفية]" caption="الفئة الوظيفية" attribute="1" defaultMemberUniqueName="[Table5].[الفئة الوظيفية].[All]" allUniqueName="[Table5].[الفئة الوظيفية].[All]" dimensionUniqueName="[Table5]" displayFolder="" count="0" memberValueDatatype="130" unbalanced="0"/>
    <cacheHierarchy uniqueName="[Table5].[التعويضات]" caption="التعويضات" attribute="1" defaultMemberUniqueName="[Table5].[التعويضات].[All]" allUniqueName="[Table5].[التعويضات].[All]" dimensionUniqueName="[Table5]" displayFolder="" count="0" memberValueDatatype="5" unbalanced="0"/>
    <cacheHierarchy uniqueName="[Table5].[الحالة]" caption="الحالة" attribute="1" defaultMemberUniqueName="[Table5].[الحالة].[All]" allUniqueName="[Table5].[الحالة].[All]" dimensionUniqueName="[Table5]" displayFolder="" count="0" memberValueDatatype="130" unbalanced="0"/>
    <cacheHierarchy uniqueName="[Table5].[Column3]" caption="Column3" attribute="1" defaultMemberUniqueName="[Table5].[Column3].[All]" allUniqueName="[Table5].[Column3].[All]" dimensionUniqueName="[Table5]" displayFolder="" count="0" memberValueDatatype="130" unbalanced="0"/>
    <cacheHierarchy uniqueName="[Table7].[المعاملة]" caption="المعاملة" attribute="1" defaultMemberUniqueName="[Table7].[المعاملة].[All]" allUniqueName="[Table7].[المعاملة].[All]" dimensionUniqueName="[Table7]" displayFolder="" count="0" memberValueDatatype="130" unbalanced="0"/>
    <cacheHierarchy uniqueName="[Table7].[تاريخ التسليم]" caption="تاريخ التسليم" attribute="1" time="1" defaultMemberUniqueName="[Table7].[تاريخ التسليم].[All]" allUniqueName="[Table7].[تاريخ التسليم].[All]" dimensionUniqueName="[Table7]" displayFolder="" count="0" memberValueDatatype="7" unbalanced="0"/>
    <cacheHierarchy uniqueName="[Table7].[الوقت المتبقي (شهر/يوم)]" caption="الوقت المتبقي (شهر/يوم)" attribute="1" defaultMemberUniqueName="[Table7].[الوقت المتبقي (شهر/يوم)].[All]" allUniqueName="[Table7].[الوقت المتبقي (شهر/يوم)].[All]" dimensionUniqueName="[Table7]" displayFolder="" count="0" memberValueDatatype="130" unbalanced="0"/>
    <cacheHierarchy uniqueName="[Table7].[الحالة]" caption="الحالة" attribute="1" defaultMemberUniqueName="[Table7].[الحالة].[All]" allUniqueName="[Table7].[الحالة].[All]" dimensionUniqueName="[Table7]" displayFolder="" count="0" memberValueDatatype="130" unbalanced="0"/>
    <cacheHierarchy uniqueName="[Table7].[معالجة الأخطاء]" caption="معالجة الأخطاء" attribute="1" defaultMemberUniqueName="[Table7].[معالجة الأخطاء].[All]" allUniqueName="[Table7].[معالجة الأخطاء].[All]" dimensionUniqueName="[Table7]" displayFolder="" count="0" memberValueDatatype="130" unbalanced="0"/>
    <cacheHierarchy uniqueName="[Table7].[التسليم]" caption="التسليم" attribute="1" defaultMemberUniqueName="[Table7].[التسليم].[All]" allUniqueName="[Table7].[التسليم].[All]" dimensionUniqueName="[Table7]" displayFolder="" count="0" memberValueDatatype="130" unbalanced="0"/>
    <cacheHierarchy uniqueName="[Table7].[Column1]" caption="Column1" attribute="1" defaultMemberUniqueName="[Table7].[Column1].[All]" allUniqueName="[Table7].[Column1].[All]" dimensionUniqueName="[Table7]" displayFolder="" count="0" memberValueDatatype="130" unbalanced="0"/>
    <cacheHierarchy uniqueName="[Table7].[العمليات لعام 2026]" caption="العمليات لعام 2026" attribute="1" defaultMemberUniqueName="[Table7].[العمليات لعام 2026].[All]" allUniqueName="[Table7].[العمليات لعام 2026].[All]" dimensionUniqueName="[Table7]" displayFolder="" count="0" memberValueDatatype="130" unbalanced="0"/>
    <cacheHierarchy uniqueName="[Table7].[Column2]" caption="Column2" attribute="1" defaultMemberUniqueName="[Table7].[Column2].[All]" allUniqueName="[Table7].[Column2].[All]" dimensionUniqueName="[Table7]" displayFolder="" count="0" memberValueDatatype="130" unbalanced="0"/>
    <cacheHierarchy uniqueName="[Table7].[Column3]" caption="Column3" attribute="1" defaultMemberUniqueName="[Table7].[Column3].[All]" allUniqueName="[Table7].[Column3].[All]" dimensionUniqueName="[Table7]" displayFolder="" count="0" memberValueDatatype="130" unbalanced="0"/>
    <cacheHierarchy uniqueName="[Table7].[Column4]" caption="Column4" attribute="1" defaultMemberUniqueName="[Table7].[Column4].[All]" allUniqueName="[Table7].[Column4].[All]" dimensionUniqueName="[Table7]" displayFolder="" count="0" memberValueDatatype="130" unbalanced="0"/>
    <cacheHierarchy uniqueName="[Table7].[Column5]" caption="Column5" attribute="1" defaultMemberUniqueName="[Table7].[Column5].[All]" allUniqueName="[Table7].[Column5].[All]" dimensionUniqueName="[Table7]" displayFolder="" count="0" memberValueDatatype="130" unbalanced="0"/>
    <cacheHierarchy uniqueName="[Table7].[Column6]" caption="Column6" attribute="1" defaultMemberUniqueName="[Table7].[Column6].[All]" allUniqueName="[Table7].[Column6].[All]" dimensionUniqueName="[Table7]" displayFolder="" count="0" memberValueDatatype="130" unbalanced="0"/>
    <cacheHierarchy uniqueName="[Table7].[Column7]" caption="Column7" attribute="1" defaultMemberUniqueName="[Table7].[Column7].[All]" allUniqueName="[Table7].[Column7].[All]" dimensionUniqueName="[Table7]" displayFolder="" count="0" memberValueDatatype="130" unbalanced="0"/>
    <cacheHierarchy uniqueName="[Table7].[Column8]" caption="Column8" attribute="1" defaultMemberUniqueName="[Table7].[Column8].[All]" allUniqueName="[Table7].[Column8].[All]" dimensionUniqueName="[Table7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Table7]" caption="__XL_Count Table7" measure="1" displayFolder="" measureGroup="Table7" count="0" hidden="1"/>
    <cacheHierarchy uniqueName="[Measures].[__XL_Count QQ]" caption="__XL_Count QQ" measure="1" displayFolder="" measureGroup="QQ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عام التعيين]" caption="Sum of عام التعيين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الرقم الوظيفي-القسم]" caption="Count of الرقم الوظيفي-القسم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الاسم الأول]" caption="Count of الاسم الأول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الاسم الثالث]" caption="Count of الاسم الثالث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العدد]" caption="Sum of العدد" measure="1" displayFolder="" measureGroup="QQ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الراتب]" caption="Sum of الراتب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عام التعيين 2]" caption="Sum of عام التعيين 2" measure="1" displayFolder="" measureGroup="Table4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measure="1" name="Measures" uniqueName="[Measures]" caption="Measures"/>
    <dimension name="QQ" uniqueName="[QQ]" caption="QQ"/>
    <dimension name="Range" uniqueName="[Range]" caption="Range"/>
    <dimension name="Table4" uniqueName="[Table4]" caption="Table4"/>
    <dimension name="Table5" uniqueName="[Table5]" caption="Table5"/>
    <dimension name="Table7" uniqueName="[Table7]" caption="Table7"/>
  </dimensions>
  <measureGroups count="5">
    <measureGroup name="QQ" caption="QQ"/>
    <measureGroup name="Range" caption="Range"/>
    <measureGroup name="Table4" caption="Table4"/>
    <measureGroup name="Table5" caption="Table5"/>
    <measureGroup name="Table7" caption="Table7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B47AC-42D0-4ED3-9D3E-20206B04EB76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4:B105" firstHeaderRow="1" firstDataRow="1" firstDataCol="1"/>
  <pivotFields count="3"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subtotalTop="0" showAll="0" defaultSubtotal="0"/>
  </pivotFields>
  <rowFields count="2">
    <field x="0"/>
    <field x="1"/>
  </rowFields>
  <rowItems count="10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16"/>
    </i>
    <i>
      <x v="22"/>
    </i>
    <i r="1">
      <x v="21"/>
    </i>
    <i>
      <x v="23"/>
    </i>
    <i r="1">
      <x v="22"/>
    </i>
    <i>
      <x v="24"/>
    </i>
    <i r="1">
      <x v="23"/>
    </i>
    <i>
      <x v="25"/>
    </i>
    <i r="1">
      <x v="24"/>
    </i>
    <i>
      <x v="26"/>
    </i>
    <i r="1">
      <x v="25"/>
    </i>
    <i>
      <x v="27"/>
    </i>
    <i r="1">
      <x v="26"/>
    </i>
    <i>
      <x v="28"/>
    </i>
    <i r="1">
      <x v="27"/>
    </i>
    <i>
      <x v="29"/>
    </i>
    <i r="1">
      <x v="28"/>
    </i>
    <i>
      <x v="30"/>
    </i>
    <i r="1">
      <x v="29"/>
    </i>
    <i>
      <x v="31"/>
    </i>
    <i r="1">
      <x v="30"/>
    </i>
    <i>
      <x v="32"/>
    </i>
    <i r="1">
      <x v="31"/>
    </i>
    <i>
      <x v="33"/>
    </i>
    <i r="1">
      <x v="32"/>
    </i>
    <i>
      <x v="34"/>
    </i>
    <i r="1">
      <x v="33"/>
    </i>
    <i>
      <x v="35"/>
    </i>
    <i r="1">
      <x v="34"/>
    </i>
    <i>
      <x v="36"/>
    </i>
    <i r="1">
      <x v="35"/>
    </i>
    <i>
      <x v="37"/>
    </i>
    <i r="1">
      <x v="36"/>
    </i>
    <i>
      <x v="38"/>
    </i>
    <i r="1">
      <x v="37"/>
    </i>
    <i>
      <x v="39"/>
    </i>
    <i r="1">
      <x v="38"/>
    </i>
    <i>
      <x v="40"/>
    </i>
    <i r="1">
      <x v="39"/>
    </i>
    <i>
      <x v="41"/>
    </i>
    <i r="1">
      <x v="40"/>
    </i>
    <i>
      <x v="42"/>
    </i>
    <i r="1">
      <x v="41"/>
    </i>
    <i>
      <x v="43"/>
    </i>
    <i r="1">
      <x v="42"/>
    </i>
    <i>
      <x v="44"/>
    </i>
    <i r="1">
      <x v="43"/>
    </i>
    <i>
      <x v="45"/>
    </i>
    <i r="1">
      <x v="44"/>
    </i>
    <i>
      <x v="46"/>
    </i>
    <i r="1">
      <x v="45"/>
    </i>
    <i>
      <x v="47"/>
    </i>
    <i r="1">
      <x v="46"/>
    </i>
    <i>
      <x v="48"/>
    </i>
    <i r="1">
      <x v="47"/>
    </i>
    <i>
      <x v="49"/>
    </i>
    <i r="1">
      <x v="48"/>
    </i>
    <i t="grand">
      <x/>
    </i>
  </rowItems>
  <colItems count="1">
    <i/>
  </colItems>
  <dataFields count="1">
    <dataField name="Sum of عام التعيين" fld="2" baseField="0" baseItem="0"/>
  </dataFields>
  <formats count="12"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بيانات المتدربين!$A$1:$J$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773AE2-CA52-413E-8940-D447B3EA55C8}" name="Table4" displayName="Table4" ref="A1:K51" totalsRowShown="0" headerRowDxfId="32" dataDxfId="31">
  <autoFilter ref="A1:K51" xr:uid="{11773AE2-CA52-413E-8940-D447B3EA55C8}"/>
  <sortState xmlns:xlrd2="http://schemas.microsoft.com/office/spreadsheetml/2017/richdata2" ref="A2:K51">
    <sortCondition ref="E1:E51"/>
  </sortState>
  <tableColumns count="11">
    <tableColumn id="1" xr3:uid="{5BFF8668-A730-4DC9-8A82-C35A3004D943}" name="الكود الوظيفي" dataDxfId="30"/>
    <tableColumn id="2" xr3:uid="{9646528D-563D-4A0D-81B3-51793E290E22}" name="الاسم الثالث" dataDxfId="29"/>
    <tableColumn id="3" xr3:uid="{F4FF4959-FE3C-4EF8-9A30-0E6C48817DCF}" name="الاسم الثاني" dataDxfId="28"/>
    <tableColumn id="4" xr3:uid="{6D7F9877-B743-426C-9152-500F3AC76C8A}" name="الاسم الأول" dataDxfId="27"/>
    <tableColumn id="5" xr3:uid="{B12B2393-198A-4715-AA5C-EE5537B4C9A5}" name="تنظيف البيانات" dataDxfId="26"/>
    <tableColumn id="6" xr3:uid="{469EB2B2-DC80-4D39-8D73-BC4B5157DA24}" name="الجنس" dataDxfId="25"/>
    <tableColumn id="7" xr3:uid="{5B4EC8C0-DA07-46FF-B71E-3FD7D49EA6D3}" name="الرقم الوظيفي-القسم" dataDxfId="24"/>
    <tableColumn id="8" xr3:uid="{C08933AC-5A15-4645-9B8E-CF2028AEFC02}" name="القسم" dataDxfId="23"/>
    <tableColumn id="9" xr3:uid="{D07E598B-FF6F-4A22-ADAF-607977B4EFE3}" name="عام التعيين" dataDxfId="22"/>
    <tableColumn id="10" xr3:uid="{951AD088-A534-4D24-8627-F4C6C9CBB16A}" name="تاريخ التعيين" dataDxfId="21"/>
    <tableColumn id="11" xr3:uid="{74E09585-F4F0-4F98-A381-8355521652B7}" name="ألمعلومات الكاملة" dataDxfId="20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7CA117-2B72-491E-9DAA-D3550207FEB1}" name="Table5" displayName="Table5" ref="A1:K51" totalsRowShown="0" headerRowDxfId="19" dataDxfId="18">
  <autoFilter ref="A1:K51" xr:uid="{647CA117-2B72-491E-9DAA-D3550207FEB1}"/>
  <tableColumns count="11">
    <tableColumn id="1" xr3:uid="{A916E76B-72AE-4736-B113-ED4ADF1ECFDC}" name="ألرقم الوظيفي" dataDxfId="17"/>
    <tableColumn id="2" xr3:uid="{E086D567-3AB1-4029-894A-ED7BB1B04CE5}" name="أسماء الموظفين" dataDxfId="16"/>
    <tableColumn id="3" xr3:uid="{D43436D8-B210-46F8-9698-0878A489CF9B}" name="تاريخ التعيين" dataDxfId="15"/>
    <tableColumn id="4" xr3:uid="{2E9E3CB4-0E61-4685-A214-548445612115}" name="سنوات العمل" dataDxfId="14"/>
    <tableColumn id="5" xr3:uid="{5F53B9F7-E007-492B-B075-D10E7F7610C1}" name="الراتب" dataDxfId="13"/>
    <tableColumn id="6" xr3:uid="{EAFD19F8-5D2B-47B8-9039-E5C3E63DE278}" name="زيادة الراتب" dataDxfId="12"/>
    <tableColumn id="7" xr3:uid="{088B03C5-5679-4E71-8981-213EC9FEF3BE}" name="الراتب الكامل" dataDxfId="11"/>
    <tableColumn id="8" xr3:uid="{134018F5-BE66-4F1F-9B37-5A245977FF54}" name="الفئة الوظيفية" dataDxfId="10"/>
    <tableColumn id="9" xr3:uid="{D2E2B1FF-3E56-4A94-A79F-802E686FB378}" name="التعويضات" dataDxfId="9"/>
    <tableColumn id="10" xr3:uid="{7F7F4073-0A99-47AF-B33D-9E8BF784C224}" name="الحالة" dataDxfId="8"/>
    <tableColumn id="13" xr3:uid="{9235ECB8-B752-46AA-88EA-C737ED222D60}" name="Column3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FE5BBC-7716-4021-92E5-9AB87EEB2AE4}" name="QQ" displayName="QQ" ref="A1:B16" totalsRowShown="0" headerRowDxfId="6" headerRowBorderDxfId="5" tableBorderDxfId="4" totalsRowBorderDxfId="3">
  <autoFilter ref="A1:B16" xr:uid="{8CFE5BBC-7716-4021-92E5-9AB87EEB2AE4}"/>
  <tableColumns count="2">
    <tableColumn id="1" xr3:uid="{06514D6E-E734-4F68-B614-8A48E4CAD324}" name="عنوان الإحصاء" dataDxfId="2"/>
    <tableColumn id="2" xr3:uid="{14EEAB1C-EC37-4606-9B45-4D6784DDF61B}" name="العدد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DC401D-B62D-464D-AE02-8D61E9A7CF3C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F898-8C78-42E8-A8F2-DCA08C6E52E0}">
  <dimension ref="A1"/>
  <sheetViews>
    <sheetView showGridLines="0" showRowColHeaders="0" rightToLeft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A2F6-4439-4F97-B801-A11DA00F4566}">
  <dimension ref="A2:B15"/>
  <sheetViews>
    <sheetView rightToLeft="1" zoomScale="156" workbookViewId="0">
      <selection activeCell="A14" sqref="A14"/>
    </sheetView>
  </sheetViews>
  <sheetFormatPr defaultRowHeight="13.8" x14ac:dyDescent="0.25"/>
  <cols>
    <col min="1" max="16384" width="8.796875" style="1"/>
  </cols>
  <sheetData>
    <row r="2" spans="1:2" x14ac:dyDescent="0.25">
      <c r="A2" s="1" t="s">
        <v>366</v>
      </c>
      <c r="B2" s="1" t="s">
        <v>379</v>
      </c>
    </row>
    <row r="3" spans="1:2" x14ac:dyDescent="0.25">
      <c r="A3" s="1" t="s">
        <v>367</v>
      </c>
      <c r="B3" s="1">
        <v>2654</v>
      </c>
    </row>
    <row r="4" spans="1:2" x14ac:dyDescent="0.25">
      <c r="A4" s="1" t="s">
        <v>368</v>
      </c>
      <c r="B4" s="1">
        <v>4856</v>
      </c>
    </row>
    <row r="5" spans="1:2" x14ac:dyDescent="0.25">
      <c r="A5" s="1" t="s">
        <v>369</v>
      </c>
      <c r="B5" s="1">
        <v>5861</v>
      </c>
    </row>
    <row r="6" spans="1:2" x14ac:dyDescent="0.25">
      <c r="A6" s="1" t="s">
        <v>370</v>
      </c>
      <c r="B6" s="1">
        <v>1235</v>
      </c>
    </row>
    <row r="7" spans="1:2" x14ac:dyDescent="0.25">
      <c r="A7" s="1" t="s">
        <v>371</v>
      </c>
      <c r="B7" s="1">
        <v>1564</v>
      </c>
    </row>
    <row r="8" spans="1:2" x14ac:dyDescent="0.25">
      <c r="A8" s="1" t="s">
        <v>372</v>
      </c>
      <c r="B8" s="1">
        <v>8945</v>
      </c>
    </row>
    <row r="9" spans="1:2" x14ac:dyDescent="0.25">
      <c r="A9" s="1" t="s">
        <v>373</v>
      </c>
      <c r="B9" s="1">
        <v>5644</v>
      </c>
    </row>
    <row r="10" spans="1:2" x14ac:dyDescent="0.25">
      <c r="A10" s="1" t="s">
        <v>374</v>
      </c>
      <c r="B10" s="1">
        <v>5465</v>
      </c>
    </row>
    <row r="11" spans="1:2" x14ac:dyDescent="0.25">
      <c r="A11" s="1" t="s">
        <v>375</v>
      </c>
      <c r="B11" s="1">
        <v>879</v>
      </c>
    </row>
    <row r="12" spans="1:2" x14ac:dyDescent="0.25">
      <c r="A12" s="1" t="s">
        <v>376</v>
      </c>
      <c r="B12" s="1">
        <v>8978</v>
      </c>
    </row>
    <row r="13" spans="1:2" x14ac:dyDescent="0.25">
      <c r="A13" s="1" t="s">
        <v>377</v>
      </c>
      <c r="B13" s="1">
        <v>5847</v>
      </c>
    </row>
    <row r="14" spans="1:2" x14ac:dyDescent="0.25">
      <c r="A14" s="1" t="s">
        <v>374</v>
      </c>
      <c r="B14" s="1">
        <v>4123</v>
      </c>
    </row>
    <row r="15" spans="1:2" x14ac:dyDescent="0.25">
      <c r="A15" s="1" t="s">
        <v>378</v>
      </c>
      <c r="B15" s="1">
        <v>3214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AD9F-885A-4118-A660-16A37D1B6FA5}">
  <dimension ref="A1:G107"/>
  <sheetViews>
    <sheetView rightToLeft="1" zoomScale="118" workbookViewId="0">
      <selection activeCell="E9" sqref="E9"/>
    </sheetView>
  </sheetViews>
  <sheetFormatPr defaultColWidth="22.69921875" defaultRowHeight="22.05" customHeight="1" x14ac:dyDescent="0.25"/>
  <cols>
    <col min="1" max="1" width="17.19921875" style="17" bestFit="1" customWidth="1"/>
    <col min="2" max="2" width="14.296875" style="17" bestFit="1" customWidth="1"/>
    <col min="3" max="3" width="14.09765625" style="17" customWidth="1"/>
    <col min="4" max="4" width="12.8984375" style="17" customWidth="1"/>
    <col min="5" max="5" width="56.19921875" style="62" customWidth="1"/>
    <col min="6" max="6" width="54.69921875" style="17" customWidth="1"/>
    <col min="7" max="16384" width="22.69921875" style="17"/>
  </cols>
  <sheetData>
    <row r="1" spans="1:7" ht="22.05" customHeight="1" x14ac:dyDescent="0.25">
      <c r="A1" s="22"/>
      <c r="E1" s="67" t="s">
        <v>305</v>
      </c>
      <c r="F1" s="17" t="str" cm="1">
        <f t="array" ref="F1">_xlfn._xlws.FILTER('بيانات المتدربين'!K:K,ISNUMBER(SEARCH(البحث!E3,'بيانات المتدربين'!K:K)),"NO DATA")</f>
        <v>بشر لؤي المصري - HR-2016 - 2013/07/15 - 3017 - 2015</v>
      </c>
      <c r="G1" s="68"/>
    </row>
    <row r="2" spans="1:7" ht="22.05" customHeight="1" x14ac:dyDescent="0.25">
      <c r="A2"/>
      <c r="B2"/>
      <c r="E2" s="67"/>
      <c r="G2" s="69"/>
    </row>
    <row r="3" spans="1:7" ht="22.05" customHeight="1" x14ac:dyDescent="0.25">
      <c r="E3" s="66" t="s">
        <v>192</v>
      </c>
      <c r="G3" s="69"/>
    </row>
    <row r="4" spans="1:7" ht="22.05" customHeight="1" x14ac:dyDescent="0.25">
      <c r="A4" s="18" t="s">
        <v>299</v>
      </c>
      <c r="B4" s="17" t="s">
        <v>301</v>
      </c>
      <c r="C4"/>
      <c r="E4" s="66"/>
      <c r="G4" s="69"/>
    </row>
    <row r="5" spans="1:7" ht="22.05" customHeight="1" x14ac:dyDescent="0.25">
      <c r="A5" s="17" t="s">
        <v>81</v>
      </c>
      <c r="C5"/>
      <c r="G5" s="69"/>
    </row>
    <row r="6" spans="1:7" ht="22.05" customHeight="1" x14ac:dyDescent="0.25">
      <c r="A6" s="33" t="s">
        <v>82</v>
      </c>
      <c r="B6" s="17">
        <v>2019</v>
      </c>
      <c r="C6"/>
      <c r="E6" s="63">
        <v>4019</v>
      </c>
      <c r="G6" s="69"/>
    </row>
    <row r="7" spans="1:7" ht="22.05" customHeight="1" x14ac:dyDescent="0.25">
      <c r="A7" s="17" t="s">
        <v>111</v>
      </c>
      <c r="C7"/>
      <c r="E7" s="62" t="str">
        <f>VLOOKUP(E6,'بيانات المتدربين'!A:E,5,FALSE)</f>
        <v>دينا نبيل بركات</v>
      </c>
      <c r="G7" s="69"/>
    </row>
    <row r="8" spans="1:7" ht="22.05" customHeight="1" x14ac:dyDescent="0.25">
      <c r="A8" s="33" t="s">
        <v>112</v>
      </c>
      <c r="B8" s="17">
        <v>2012</v>
      </c>
      <c r="C8"/>
      <c r="E8" s="64">
        <f ca="1">VLOOKUP(E6,'المعاملات المالية'!A:G,7,FALSE)</f>
        <v>129.15</v>
      </c>
      <c r="G8" s="70"/>
    </row>
    <row r="9" spans="1:7" ht="22.05" customHeight="1" x14ac:dyDescent="0.25">
      <c r="A9" s="17" t="s">
        <v>42</v>
      </c>
      <c r="C9"/>
      <c r="E9" s="62" t="str">
        <f>"القسم :" &amp; VLOOKUP(E6,'بيانات المتدربين'!A:H,8,FALSE)</f>
        <v>القسم :LEG</v>
      </c>
    </row>
    <row r="10" spans="1:7" ht="22.05" customHeight="1" x14ac:dyDescent="0.25">
      <c r="A10" s="33" t="s">
        <v>43</v>
      </c>
      <c r="B10" s="17">
        <v>2014</v>
      </c>
      <c r="C10"/>
    </row>
    <row r="11" spans="1:7" ht="22.05" customHeight="1" x14ac:dyDescent="0.25">
      <c r="A11" s="17" t="s">
        <v>331</v>
      </c>
      <c r="C11"/>
      <c r="E11" s="65"/>
    </row>
    <row r="12" spans="1:7" ht="22.05" customHeight="1" x14ac:dyDescent="0.25">
      <c r="A12" s="33" t="s">
        <v>2</v>
      </c>
      <c r="B12" s="17">
        <v>2010</v>
      </c>
      <c r="C12"/>
    </row>
    <row r="13" spans="1:7" ht="22.05" customHeight="1" x14ac:dyDescent="0.25">
      <c r="A13" s="17" t="s">
        <v>123</v>
      </c>
      <c r="C13"/>
    </row>
    <row r="14" spans="1:7" ht="22.05" customHeight="1" x14ac:dyDescent="0.25">
      <c r="A14" s="33" t="s">
        <v>124</v>
      </c>
      <c r="B14" s="17">
        <v>2014</v>
      </c>
      <c r="C14"/>
    </row>
    <row r="15" spans="1:7" ht="22.05" customHeight="1" x14ac:dyDescent="0.25">
      <c r="A15" s="17" t="s">
        <v>134</v>
      </c>
      <c r="C15"/>
    </row>
    <row r="16" spans="1:7" ht="22.05" customHeight="1" x14ac:dyDescent="0.25">
      <c r="A16" s="33" t="s">
        <v>135</v>
      </c>
      <c r="B16" s="17">
        <v>2013</v>
      </c>
      <c r="C16"/>
    </row>
    <row r="17" spans="1:3" ht="22.05" customHeight="1" x14ac:dyDescent="0.25">
      <c r="A17" s="17" t="s">
        <v>334</v>
      </c>
      <c r="C17"/>
    </row>
    <row r="18" spans="1:3" ht="22.05" customHeight="1" x14ac:dyDescent="0.25">
      <c r="A18" s="33" t="s">
        <v>137</v>
      </c>
      <c r="B18" s="17">
        <v>2016</v>
      </c>
      <c r="C18"/>
    </row>
    <row r="19" spans="1:3" ht="22.05" customHeight="1" x14ac:dyDescent="0.25">
      <c r="A19" s="17" t="s">
        <v>139</v>
      </c>
      <c r="C19"/>
    </row>
    <row r="20" spans="1:3" ht="22.05" customHeight="1" x14ac:dyDescent="0.25">
      <c r="A20" s="33" t="s">
        <v>140</v>
      </c>
      <c r="B20" s="17">
        <v>2019</v>
      </c>
      <c r="C20"/>
    </row>
    <row r="21" spans="1:3" ht="22.05" customHeight="1" x14ac:dyDescent="0.25">
      <c r="A21" s="17" t="s">
        <v>75</v>
      </c>
      <c r="C21"/>
    </row>
    <row r="22" spans="1:3" ht="22.05" customHeight="1" x14ac:dyDescent="0.25">
      <c r="A22" s="33" t="s">
        <v>76</v>
      </c>
      <c r="B22" s="17">
        <v>2013</v>
      </c>
    </row>
    <row r="23" spans="1:3" ht="22.05" customHeight="1" x14ac:dyDescent="0.25">
      <c r="A23" s="17" t="s">
        <v>99</v>
      </c>
    </row>
    <row r="24" spans="1:3" ht="22.05" customHeight="1" x14ac:dyDescent="0.25">
      <c r="A24" s="33" t="s">
        <v>100</v>
      </c>
      <c r="B24" s="17">
        <v>2014</v>
      </c>
    </row>
    <row r="25" spans="1:3" ht="22.05" customHeight="1" x14ac:dyDescent="0.25">
      <c r="A25" s="17" t="s">
        <v>12</v>
      </c>
    </row>
    <row r="26" spans="1:3" ht="22.05" customHeight="1" x14ac:dyDescent="0.25">
      <c r="A26" s="33" t="s">
        <v>13</v>
      </c>
      <c r="B26" s="17">
        <v>2009</v>
      </c>
    </row>
    <row r="27" spans="1:3" ht="22.05" customHeight="1" x14ac:dyDescent="0.25">
      <c r="A27" s="17" t="s">
        <v>102</v>
      </c>
    </row>
    <row r="28" spans="1:3" ht="22.05" customHeight="1" x14ac:dyDescent="0.25">
      <c r="A28" s="33" t="s">
        <v>103</v>
      </c>
      <c r="B28" s="17">
        <v>2017</v>
      </c>
    </row>
    <row r="29" spans="1:3" ht="22.05" customHeight="1" x14ac:dyDescent="0.25">
      <c r="A29" s="17" t="s">
        <v>57</v>
      </c>
    </row>
    <row r="30" spans="1:3" ht="22.05" customHeight="1" x14ac:dyDescent="0.25">
      <c r="A30" s="33" t="s">
        <v>58</v>
      </c>
      <c r="B30" s="17">
        <v>2019</v>
      </c>
    </row>
    <row r="31" spans="1:3" ht="22.05" customHeight="1" x14ac:dyDescent="0.25">
      <c r="A31" s="17" t="s">
        <v>117</v>
      </c>
    </row>
    <row r="32" spans="1:3" ht="22.05" customHeight="1" x14ac:dyDescent="0.25">
      <c r="A32" s="33" t="s">
        <v>118</v>
      </c>
      <c r="B32" s="17">
        <v>2018</v>
      </c>
    </row>
    <row r="33" spans="1:2" ht="22.05" customHeight="1" x14ac:dyDescent="0.25">
      <c r="A33" s="17" t="s">
        <v>33</v>
      </c>
    </row>
    <row r="34" spans="1:2" ht="22.05" customHeight="1" x14ac:dyDescent="0.25">
      <c r="A34" s="33" t="s">
        <v>34</v>
      </c>
      <c r="B34" s="17">
        <v>2019</v>
      </c>
    </row>
    <row r="35" spans="1:2" ht="22.05" customHeight="1" x14ac:dyDescent="0.25">
      <c r="A35" s="17" t="s">
        <v>45</v>
      </c>
    </row>
    <row r="36" spans="1:2" ht="22.05" customHeight="1" x14ac:dyDescent="0.25">
      <c r="A36" s="33" t="s">
        <v>46</v>
      </c>
      <c r="B36" s="17">
        <v>2017</v>
      </c>
    </row>
    <row r="37" spans="1:2" ht="22.05" customHeight="1" x14ac:dyDescent="0.25">
      <c r="A37" s="17" t="s">
        <v>30</v>
      </c>
    </row>
    <row r="38" spans="1:2" ht="22.05" customHeight="1" x14ac:dyDescent="0.25">
      <c r="A38" s="33" t="s">
        <v>31</v>
      </c>
      <c r="B38" s="17">
        <v>2016</v>
      </c>
    </row>
    <row r="39" spans="1:2" ht="22.05" customHeight="1" x14ac:dyDescent="0.25">
      <c r="A39" s="17" t="s">
        <v>6</v>
      </c>
    </row>
    <row r="40" spans="1:2" ht="22.05" customHeight="1" x14ac:dyDescent="0.25">
      <c r="A40" s="33" t="s">
        <v>7</v>
      </c>
      <c r="B40" s="17">
        <v>2015</v>
      </c>
    </row>
    <row r="41" spans="1:2" ht="22.05" customHeight="1" x14ac:dyDescent="0.25">
      <c r="A41" s="17" t="s">
        <v>51</v>
      </c>
    </row>
    <row r="42" spans="1:2" ht="22.05" customHeight="1" x14ac:dyDescent="0.25">
      <c r="A42" s="33" t="s">
        <v>52</v>
      </c>
      <c r="B42" s="17">
        <v>2013</v>
      </c>
    </row>
    <row r="43" spans="1:2" ht="22.05" customHeight="1" x14ac:dyDescent="0.25">
      <c r="A43" s="17" t="s">
        <v>63</v>
      </c>
    </row>
    <row r="44" spans="1:2" ht="22.05" customHeight="1" x14ac:dyDescent="0.25">
      <c r="A44" s="33" t="s">
        <v>64</v>
      </c>
      <c r="B44" s="17">
        <v>2011</v>
      </c>
    </row>
    <row r="45" spans="1:2" ht="22.05" customHeight="1" x14ac:dyDescent="0.25">
      <c r="A45" s="17" t="s">
        <v>120</v>
      </c>
    </row>
    <row r="46" spans="1:2" ht="22.05" customHeight="1" x14ac:dyDescent="0.25">
      <c r="A46" s="33" t="s">
        <v>121</v>
      </c>
      <c r="B46" s="17">
        <v>2011</v>
      </c>
    </row>
    <row r="47" spans="1:2" ht="22.05" customHeight="1" x14ac:dyDescent="0.25">
      <c r="A47" s="17" t="s">
        <v>126</v>
      </c>
    </row>
    <row r="48" spans="1:2" ht="22.05" customHeight="1" x14ac:dyDescent="0.25">
      <c r="A48" s="33" t="s">
        <v>31</v>
      </c>
      <c r="B48" s="17">
        <v>2017</v>
      </c>
    </row>
    <row r="49" spans="1:2" ht="22.05" customHeight="1" x14ac:dyDescent="0.25">
      <c r="A49" s="17" t="s">
        <v>36</v>
      </c>
    </row>
    <row r="50" spans="1:2" ht="22.05" customHeight="1" x14ac:dyDescent="0.25">
      <c r="A50" s="33" t="s">
        <v>37</v>
      </c>
      <c r="B50" s="17">
        <v>2008</v>
      </c>
    </row>
    <row r="51" spans="1:2" ht="22.05" customHeight="1" x14ac:dyDescent="0.25">
      <c r="A51" s="17" t="s">
        <v>93</v>
      </c>
    </row>
    <row r="52" spans="1:2" ht="22.05" customHeight="1" x14ac:dyDescent="0.25">
      <c r="A52" s="33" t="s">
        <v>94</v>
      </c>
      <c r="B52" s="17">
        <v>2018</v>
      </c>
    </row>
    <row r="53" spans="1:2" ht="22.05" customHeight="1" x14ac:dyDescent="0.25">
      <c r="A53" s="17" t="s">
        <v>69</v>
      </c>
    </row>
    <row r="54" spans="1:2" ht="22.05" customHeight="1" x14ac:dyDescent="0.25">
      <c r="A54" s="33" t="s">
        <v>70</v>
      </c>
      <c r="B54" s="17">
        <v>2017</v>
      </c>
    </row>
    <row r="55" spans="1:2" ht="22.05" customHeight="1" x14ac:dyDescent="0.25">
      <c r="A55" s="17" t="s">
        <v>142</v>
      </c>
    </row>
    <row r="56" spans="1:2" ht="22.05" customHeight="1" x14ac:dyDescent="0.25">
      <c r="A56" s="33" t="s">
        <v>143</v>
      </c>
      <c r="B56" s="17">
        <v>2008</v>
      </c>
    </row>
    <row r="57" spans="1:2" ht="22.05" customHeight="1" x14ac:dyDescent="0.25">
      <c r="A57" s="17" t="s">
        <v>105</v>
      </c>
    </row>
    <row r="58" spans="1:2" ht="22.05" customHeight="1" x14ac:dyDescent="0.25">
      <c r="A58" s="33" t="s">
        <v>106</v>
      </c>
      <c r="B58" s="17">
        <v>2020</v>
      </c>
    </row>
    <row r="59" spans="1:2" ht="22.05" customHeight="1" x14ac:dyDescent="0.25">
      <c r="A59" s="17" t="s">
        <v>128</v>
      </c>
    </row>
    <row r="60" spans="1:2" ht="22.05" customHeight="1" x14ac:dyDescent="0.25">
      <c r="A60" s="33" t="s">
        <v>129</v>
      </c>
      <c r="B60" s="17">
        <v>2020</v>
      </c>
    </row>
    <row r="61" spans="1:2" ht="22.05" customHeight="1" x14ac:dyDescent="0.25">
      <c r="A61" s="17" t="s">
        <v>54</v>
      </c>
    </row>
    <row r="62" spans="1:2" ht="22.05" customHeight="1" x14ac:dyDescent="0.25">
      <c r="A62" s="33" t="s">
        <v>55</v>
      </c>
      <c r="B62" s="17">
        <v>2016</v>
      </c>
    </row>
    <row r="63" spans="1:2" ht="22.05" customHeight="1" x14ac:dyDescent="0.25">
      <c r="A63" s="17" t="s">
        <v>66</v>
      </c>
    </row>
    <row r="64" spans="1:2" ht="22.05" customHeight="1" x14ac:dyDescent="0.25">
      <c r="A64" s="33" t="s">
        <v>67</v>
      </c>
      <c r="B64" s="17">
        <v>2014</v>
      </c>
    </row>
    <row r="65" spans="1:2" ht="22.05" customHeight="1" x14ac:dyDescent="0.25">
      <c r="A65" s="17" t="s">
        <v>3</v>
      </c>
    </row>
    <row r="66" spans="1:2" ht="22.05" customHeight="1" x14ac:dyDescent="0.25">
      <c r="A66" s="33" t="s">
        <v>4</v>
      </c>
      <c r="B66" s="17">
        <v>2012</v>
      </c>
    </row>
    <row r="67" spans="1:2" ht="22.05" customHeight="1" x14ac:dyDescent="0.25">
      <c r="A67" s="17" t="s">
        <v>87</v>
      </c>
    </row>
    <row r="68" spans="1:2" ht="22.05" customHeight="1" x14ac:dyDescent="0.25">
      <c r="A68" s="33" t="s">
        <v>88</v>
      </c>
      <c r="B68" s="17">
        <v>2012</v>
      </c>
    </row>
    <row r="69" spans="1:2" ht="22.05" customHeight="1" x14ac:dyDescent="0.25">
      <c r="A69" s="17" t="s">
        <v>72</v>
      </c>
    </row>
    <row r="70" spans="1:2" ht="22.05" customHeight="1" x14ac:dyDescent="0.25">
      <c r="A70" s="33" t="s">
        <v>73</v>
      </c>
      <c r="B70" s="17">
        <v>2010</v>
      </c>
    </row>
    <row r="71" spans="1:2" ht="22.05" customHeight="1" x14ac:dyDescent="0.25">
      <c r="A71" s="17" t="s">
        <v>96</v>
      </c>
    </row>
    <row r="72" spans="1:2" ht="22.05" customHeight="1" x14ac:dyDescent="0.25">
      <c r="A72" s="33" t="s">
        <v>97</v>
      </c>
      <c r="B72" s="17">
        <v>2011</v>
      </c>
    </row>
    <row r="73" spans="1:2" ht="22.05" customHeight="1" x14ac:dyDescent="0.25">
      <c r="A73" s="17" t="s">
        <v>9</v>
      </c>
    </row>
    <row r="74" spans="1:2" ht="22.05" customHeight="1" x14ac:dyDescent="0.25">
      <c r="A74" s="33" t="s">
        <v>10</v>
      </c>
      <c r="B74" s="17">
        <v>2018</v>
      </c>
    </row>
    <row r="75" spans="1:2" ht="22.05" customHeight="1" x14ac:dyDescent="0.25">
      <c r="A75" s="17" t="s">
        <v>78</v>
      </c>
    </row>
    <row r="76" spans="1:2" ht="22.05" customHeight="1" x14ac:dyDescent="0.25">
      <c r="A76" s="33" t="s">
        <v>79</v>
      </c>
      <c r="B76" s="17">
        <v>2016</v>
      </c>
    </row>
    <row r="77" spans="1:2" ht="22.05" customHeight="1" x14ac:dyDescent="0.25">
      <c r="A77" s="17" t="s">
        <v>131</v>
      </c>
    </row>
    <row r="78" spans="1:2" ht="22.05" customHeight="1" x14ac:dyDescent="0.25">
      <c r="A78" s="33" t="s">
        <v>132</v>
      </c>
      <c r="B78" s="17">
        <v>2010</v>
      </c>
    </row>
    <row r="79" spans="1:2" ht="22.05" customHeight="1" x14ac:dyDescent="0.25">
      <c r="A79" s="17" t="s">
        <v>15</v>
      </c>
    </row>
    <row r="80" spans="1:2" ht="22.05" customHeight="1" x14ac:dyDescent="0.25">
      <c r="A80" s="33" t="s">
        <v>16</v>
      </c>
      <c r="B80" s="17">
        <v>2011</v>
      </c>
    </row>
    <row r="81" spans="1:2" ht="22.05" customHeight="1" x14ac:dyDescent="0.25">
      <c r="A81" s="17" t="s">
        <v>24</v>
      </c>
    </row>
    <row r="82" spans="1:2" ht="22.05" customHeight="1" x14ac:dyDescent="0.25">
      <c r="A82" s="33" t="s">
        <v>25</v>
      </c>
      <c r="B82" s="17">
        <v>2010</v>
      </c>
    </row>
    <row r="83" spans="1:2" ht="22.05" customHeight="1" x14ac:dyDescent="0.25">
      <c r="A83" s="17" t="s">
        <v>39</v>
      </c>
    </row>
    <row r="84" spans="1:2" ht="22.05" customHeight="1" x14ac:dyDescent="0.25">
      <c r="A84" s="33" t="s">
        <v>40</v>
      </c>
      <c r="B84" s="17">
        <v>2011</v>
      </c>
    </row>
    <row r="85" spans="1:2" ht="22.05" customHeight="1" x14ac:dyDescent="0.25">
      <c r="A85" s="17" t="s">
        <v>108</v>
      </c>
    </row>
    <row r="86" spans="1:2" ht="22.05" customHeight="1" x14ac:dyDescent="0.25">
      <c r="A86" s="33" t="s">
        <v>109</v>
      </c>
      <c r="B86" s="17">
        <v>2009</v>
      </c>
    </row>
    <row r="87" spans="1:2" ht="22.05" customHeight="1" x14ac:dyDescent="0.25">
      <c r="A87" s="17" t="s">
        <v>114</v>
      </c>
    </row>
    <row r="88" spans="1:2" ht="22.05" customHeight="1" x14ac:dyDescent="0.25">
      <c r="A88" s="33" t="s">
        <v>115</v>
      </c>
      <c r="B88" s="17">
        <v>2015</v>
      </c>
    </row>
    <row r="89" spans="1:2" ht="22.05" customHeight="1" x14ac:dyDescent="0.25">
      <c r="A89" s="17" t="s">
        <v>84</v>
      </c>
    </row>
    <row r="90" spans="1:2" ht="22.05" customHeight="1" x14ac:dyDescent="0.25">
      <c r="A90" s="33" t="s">
        <v>85</v>
      </c>
      <c r="B90" s="17">
        <v>2008</v>
      </c>
    </row>
    <row r="91" spans="1:2" ht="22.05" customHeight="1" x14ac:dyDescent="0.25">
      <c r="A91" s="17" t="s">
        <v>21</v>
      </c>
    </row>
    <row r="92" spans="1:2" ht="22.05" customHeight="1" x14ac:dyDescent="0.25">
      <c r="A92" s="33" t="s">
        <v>22</v>
      </c>
      <c r="B92" s="17">
        <v>2017</v>
      </c>
    </row>
    <row r="93" spans="1:2" ht="22.05" customHeight="1" x14ac:dyDescent="0.25">
      <c r="A93" s="17" t="s">
        <v>27</v>
      </c>
    </row>
    <row r="94" spans="1:2" ht="22.05" customHeight="1" x14ac:dyDescent="0.25">
      <c r="A94" s="33" t="s">
        <v>28</v>
      </c>
      <c r="B94" s="17">
        <v>2013</v>
      </c>
    </row>
    <row r="95" spans="1:2" ht="22.05" customHeight="1" x14ac:dyDescent="0.25">
      <c r="A95" s="17" t="s">
        <v>90</v>
      </c>
    </row>
    <row r="96" spans="1:2" ht="22.05" customHeight="1" x14ac:dyDescent="0.25">
      <c r="A96" s="33" t="s">
        <v>91</v>
      </c>
      <c r="B96" s="17">
        <v>2015</v>
      </c>
    </row>
    <row r="97" spans="1:2" ht="22.05" customHeight="1" x14ac:dyDescent="0.25">
      <c r="A97" s="17" t="s">
        <v>48</v>
      </c>
    </row>
    <row r="98" spans="1:2" ht="22.05" customHeight="1" x14ac:dyDescent="0.25">
      <c r="A98" s="33" t="s">
        <v>49</v>
      </c>
      <c r="B98" s="17">
        <v>2010</v>
      </c>
    </row>
    <row r="99" spans="1:2" ht="22.05" customHeight="1" x14ac:dyDescent="0.25">
      <c r="A99" s="17" t="s">
        <v>60</v>
      </c>
    </row>
    <row r="100" spans="1:2" ht="22.05" customHeight="1" x14ac:dyDescent="0.25">
      <c r="A100" s="33" t="s">
        <v>61</v>
      </c>
      <c r="B100" s="17">
        <v>2007</v>
      </c>
    </row>
    <row r="101" spans="1:2" ht="22.05" customHeight="1" x14ac:dyDescent="0.25">
      <c r="A101" s="17" t="s">
        <v>18</v>
      </c>
    </row>
    <row r="102" spans="1:2" ht="22.05" customHeight="1" x14ac:dyDescent="0.25">
      <c r="A102" s="33" t="s">
        <v>19</v>
      </c>
      <c r="B102" s="17">
        <v>2014</v>
      </c>
    </row>
    <row r="103" spans="1:2" ht="22.05" customHeight="1" x14ac:dyDescent="0.25">
      <c r="A103" s="17" t="s">
        <v>304</v>
      </c>
    </row>
    <row r="104" spans="1:2" ht="22.05" customHeight="1" x14ac:dyDescent="0.25">
      <c r="A104" s="33" t="s">
        <v>145</v>
      </c>
      <c r="B104" s="17">
        <v>2012</v>
      </c>
    </row>
    <row r="105" spans="1:2" ht="22.05" customHeight="1" x14ac:dyDescent="0.25">
      <c r="A105" s="17" t="s">
        <v>300</v>
      </c>
      <c r="B105" s="17">
        <v>100688</v>
      </c>
    </row>
    <row r="106" spans="1:2" ht="22.05" customHeight="1" x14ac:dyDescent="0.25">
      <c r="A106"/>
    </row>
    <row r="107" spans="1:2" ht="22.05" customHeight="1" x14ac:dyDescent="0.25">
      <c r="A107"/>
    </row>
  </sheetData>
  <sheetProtection algorithmName="SHA-512" hashValue="iM4cIIBlr4pOcOMjlKZclB/ozjuU65gm7I4BTqPT7Evq5kWZg+Kgld6/JST+xLm0ftcCyOqfqCWSqL6F9ZfcfA==" saltValue="evy48Wn1rcpaypPQPALtEQ==" spinCount="100000" sheet="1" objects="1" scenarios="1"/>
  <autoFilter ref="F1:F13" xr:uid="{6710AD9F-885A-4118-A660-16A37D1B6FA5}"/>
  <mergeCells count="3">
    <mergeCell ref="E3:E4"/>
    <mergeCell ref="E1:E2"/>
    <mergeCell ref="G1:G8"/>
  </mergeCells>
  <dataValidations count="2">
    <dataValidation allowBlank="1" showInputMessage="1" showErrorMessage="1" promptTitle="لإضافة الفلتر - البحث" prompt="CTRL + ALT + L" sqref="F1" xr:uid="{6CD15157-0C61-4B8F-89C6-C2E79FDCA5D4}"/>
    <dataValidation allowBlank="1" showInputMessage="1" showErrorMessage="1" promptTitle="الراتب" prompt="ادخل رقم الموظف" sqref="E6" xr:uid="{1B5743FC-C142-47E4-8425-F0BE8B93A3A5}"/>
  </dataValidations>
  <pageMargins left="0.25" right="0.25" top="0.75" bottom="0.75" header="0.3" footer="0.3"/>
  <pageSetup paperSize="9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rightToLeft="1" zoomScale="103" workbookViewId="0">
      <selection activeCell="C2" sqref="C2"/>
    </sheetView>
  </sheetViews>
  <sheetFormatPr defaultColWidth="18.69921875" defaultRowHeight="18" customHeight="1" x14ac:dyDescent="0.25"/>
  <cols>
    <col min="1" max="10" width="18.69921875" style="12"/>
    <col min="11" max="11" width="56.796875" style="12" customWidth="1"/>
    <col min="12" max="16384" width="18.69921875" style="12"/>
  </cols>
  <sheetData>
    <row r="1" spans="1:11" s="11" customFormat="1" ht="18" customHeight="1" thickBot="1" x14ac:dyDescent="0.35">
      <c r="A1" s="9" t="s">
        <v>297</v>
      </c>
      <c r="B1" s="7" t="s">
        <v>199</v>
      </c>
      <c r="C1" s="8" t="s">
        <v>198</v>
      </c>
      <c r="D1" s="8" t="s">
        <v>197</v>
      </c>
      <c r="E1" s="8" t="s">
        <v>302</v>
      </c>
      <c r="F1" s="7" t="s">
        <v>346</v>
      </c>
      <c r="G1" s="9" t="s">
        <v>0</v>
      </c>
      <c r="H1" s="9" t="s">
        <v>335</v>
      </c>
      <c r="I1" s="9" t="s">
        <v>298</v>
      </c>
      <c r="J1" s="9" t="s">
        <v>1</v>
      </c>
      <c r="K1" s="10" t="s">
        <v>303</v>
      </c>
    </row>
    <row r="2" spans="1:11" ht="18" customHeight="1" thickTop="1" x14ac:dyDescent="0.25">
      <c r="A2" s="35">
        <v>4021</v>
      </c>
      <c r="B2" s="36" t="s">
        <v>254</v>
      </c>
      <c r="C2" s="37" t="s">
        <v>226</v>
      </c>
      <c r="D2" s="37" t="s">
        <v>175</v>
      </c>
      <c r="E2" s="37" t="s">
        <v>81</v>
      </c>
      <c r="F2" s="38" t="s">
        <v>348</v>
      </c>
      <c r="G2" s="35" t="s">
        <v>82</v>
      </c>
      <c r="H2" s="35" t="s">
        <v>339</v>
      </c>
      <c r="I2" s="35">
        <v>2019</v>
      </c>
      <c r="J2" s="35" t="s">
        <v>83</v>
      </c>
      <c r="K2" s="37" t="str">
        <f>_xlfn.TEXTJOIN(" - ",TRUE,E2,G2,J2,'بيانات المتدربين'!$A29,'بيانات المتدربين'!$I29)</f>
        <v>إياد فؤاد السعدي - LEG-4021 - 2019/10/05 - 4025 - 2020</v>
      </c>
    </row>
    <row r="3" spans="1:11" ht="18" customHeight="1" x14ac:dyDescent="0.25">
      <c r="A3" s="14">
        <v>2014</v>
      </c>
      <c r="B3" s="13" t="s">
        <v>285</v>
      </c>
      <c r="C3" s="14" t="s">
        <v>263</v>
      </c>
      <c r="D3" s="14" t="s">
        <v>184</v>
      </c>
      <c r="E3" s="14" t="s">
        <v>111</v>
      </c>
      <c r="F3" s="14" t="s">
        <v>348</v>
      </c>
      <c r="G3" s="14" t="s">
        <v>112</v>
      </c>
      <c r="H3" s="14" t="s">
        <v>337</v>
      </c>
      <c r="I3" s="14">
        <v>2012</v>
      </c>
      <c r="J3" s="14" t="s">
        <v>113</v>
      </c>
      <c r="K3" s="14" t="str">
        <f>_xlfn.TEXTJOIN(" - ",TRUE,E3,G3,J3,'بيانات المتدربين'!$A39,'بيانات المتدربين'!$I39)</f>
        <v>باسل أكرم السعيد - HR-2014 - 2012/10/22 - 2006 - 2011</v>
      </c>
    </row>
    <row r="4" spans="1:11" ht="18" customHeight="1" x14ac:dyDescent="0.25">
      <c r="A4" s="16">
        <v>3013</v>
      </c>
      <c r="B4" s="15" t="s">
        <v>241</v>
      </c>
      <c r="C4" s="16" t="s">
        <v>214</v>
      </c>
      <c r="D4" s="16" t="s">
        <v>162</v>
      </c>
      <c r="E4" s="16" t="s">
        <v>42</v>
      </c>
      <c r="F4" s="16" t="s">
        <v>348</v>
      </c>
      <c r="G4" s="16" t="s">
        <v>43</v>
      </c>
      <c r="H4" s="16" t="s">
        <v>338</v>
      </c>
      <c r="I4" s="16">
        <v>2014</v>
      </c>
      <c r="J4" s="16" t="s">
        <v>44</v>
      </c>
      <c r="K4" s="16" t="str">
        <f>_xlfn.TEXTJOIN(" - ",TRUE,E4,G4,J4,'بيانات المتدربين'!$A16,'بيانات المتدربين'!$I16)</f>
        <v>باسم صبحي عيسى - ADM-3013 - 2014/05/15 - 4017 - 2010</v>
      </c>
    </row>
    <row r="5" spans="1:11" ht="18" customHeight="1" x14ac:dyDescent="0.25">
      <c r="A5" s="16">
        <v>1001</v>
      </c>
      <c r="B5" s="15" t="s">
        <v>227</v>
      </c>
      <c r="C5" s="16" t="s">
        <v>201</v>
      </c>
      <c r="D5" s="16" t="s">
        <v>148</v>
      </c>
      <c r="E5" s="16" t="s">
        <v>331</v>
      </c>
      <c r="F5" s="16" t="s">
        <v>347</v>
      </c>
      <c r="G5" s="16" t="s">
        <v>2</v>
      </c>
      <c r="H5" s="16" t="s">
        <v>336</v>
      </c>
      <c r="I5" s="16">
        <v>2010</v>
      </c>
      <c r="J5" s="39">
        <v>41771</v>
      </c>
      <c r="K5" s="16" t="str">
        <f>_xlfn.TEXTJOIN(" - ",TRUE,E5,G5,J5,'بيانات المتدربين'!$A2,'بيانات المتدربين'!$I2)</f>
        <v>بانة مجد حرب - FIN-1001 - 41771 - 4021 - 2019</v>
      </c>
    </row>
    <row r="6" spans="1:11" ht="18" customHeight="1" x14ac:dyDescent="0.25">
      <c r="A6" s="14">
        <v>2015</v>
      </c>
      <c r="B6" s="13" t="s">
        <v>289</v>
      </c>
      <c r="C6" s="14" t="s">
        <v>267</v>
      </c>
      <c r="D6" s="14" t="s">
        <v>188</v>
      </c>
      <c r="E6" s="14" t="s">
        <v>123</v>
      </c>
      <c r="F6" s="14" t="s">
        <v>348</v>
      </c>
      <c r="G6" s="14" t="s">
        <v>124</v>
      </c>
      <c r="H6" s="14" t="s">
        <v>337</v>
      </c>
      <c r="I6" s="14">
        <v>2014</v>
      </c>
      <c r="J6" s="14" t="s">
        <v>125</v>
      </c>
      <c r="K6" s="14" t="str">
        <f>_xlfn.TEXTJOIN(" - ",TRUE,E6,G6,J6,'بيانات المتدربين'!$A43,'بيانات المتدربين'!$I43)</f>
        <v>بشار مؤيد جود - HR-2015 - 2014/01/25 - 3019 - 2015</v>
      </c>
    </row>
    <row r="7" spans="1:11" ht="18" customHeight="1" x14ac:dyDescent="0.25">
      <c r="A7" s="14">
        <v>2016</v>
      </c>
      <c r="B7" s="13" t="s">
        <v>231</v>
      </c>
      <c r="C7" s="14" t="s">
        <v>271</v>
      </c>
      <c r="D7" s="14" t="s">
        <v>192</v>
      </c>
      <c r="E7" s="14" t="s">
        <v>134</v>
      </c>
      <c r="F7" s="14" t="s">
        <v>348</v>
      </c>
      <c r="G7" s="14" t="s">
        <v>135</v>
      </c>
      <c r="H7" s="14" t="s">
        <v>337</v>
      </c>
      <c r="I7" s="14">
        <v>2013</v>
      </c>
      <c r="J7" s="14" t="s">
        <v>136</v>
      </c>
      <c r="K7" s="14" t="str">
        <f>_xlfn.TEXTJOIN(" - ",TRUE,E7,G7,J7,'بيانات المتدربين'!$A47,'بيانات المتدربين'!$I47)</f>
        <v>بشر لؤي المصري - HR-2016 - 2013/07/15 - 3017 - 2015</v>
      </c>
    </row>
    <row r="8" spans="1:11" ht="18" customHeight="1" x14ac:dyDescent="0.25">
      <c r="A8" s="16">
        <v>3021</v>
      </c>
      <c r="B8" s="15" t="s">
        <v>293</v>
      </c>
      <c r="C8" s="16" t="s">
        <v>272</v>
      </c>
      <c r="D8" s="16" t="s">
        <v>193</v>
      </c>
      <c r="E8" s="16" t="s">
        <v>334</v>
      </c>
      <c r="F8" s="16" t="s">
        <v>348</v>
      </c>
      <c r="G8" s="16" t="s">
        <v>137</v>
      </c>
      <c r="H8" s="16" t="s">
        <v>338</v>
      </c>
      <c r="I8" s="16">
        <v>2016</v>
      </c>
      <c r="J8" s="16" t="s">
        <v>138</v>
      </c>
      <c r="K8" s="16" t="str">
        <f>_xlfn.TEXTJOIN(" - ",TRUE,E8,G8,J8,'بيانات المتدربين'!$A48,'بيانات المتدربين'!$I48)</f>
        <v>تامر جلال عوض - ADM-3021 - 2016/11/30 - 1005 - 2010</v>
      </c>
    </row>
    <row r="9" spans="1:11" ht="18" customHeight="1" x14ac:dyDescent="0.25">
      <c r="A9" s="14">
        <v>4026</v>
      </c>
      <c r="B9" s="13" t="s">
        <v>294</v>
      </c>
      <c r="C9" s="14" t="s">
        <v>273</v>
      </c>
      <c r="D9" s="14" t="s">
        <v>194</v>
      </c>
      <c r="E9" s="14" t="s">
        <v>139</v>
      </c>
      <c r="F9" s="14" t="s">
        <v>348</v>
      </c>
      <c r="G9" s="14" t="s">
        <v>140</v>
      </c>
      <c r="H9" s="14" t="s">
        <v>339</v>
      </c>
      <c r="I9" s="14">
        <v>2019</v>
      </c>
      <c r="J9" s="14" t="s">
        <v>141</v>
      </c>
      <c r="K9" s="14" t="str">
        <f>_xlfn.TEXTJOIN(" - ",TRUE,E9,G9,J9,'بيانات المتدربين'!$A49,'بيانات المتدربين'!$I49)</f>
        <v>تامر شادي الشريف - LEG-4026 - 2019/04/10 - 1006 - 2007</v>
      </c>
    </row>
    <row r="10" spans="1:11" ht="18" customHeight="1" x14ac:dyDescent="0.25">
      <c r="A10" s="14">
        <v>3013</v>
      </c>
      <c r="B10" s="13" t="s">
        <v>252</v>
      </c>
      <c r="C10" s="14" t="s">
        <v>224</v>
      </c>
      <c r="D10" s="14" t="s">
        <v>173</v>
      </c>
      <c r="E10" s="14" t="s">
        <v>75</v>
      </c>
      <c r="F10" s="14" t="s">
        <v>347</v>
      </c>
      <c r="G10" s="14" t="s">
        <v>76</v>
      </c>
      <c r="H10" s="14" t="s">
        <v>338</v>
      </c>
      <c r="I10" s="14">
        <v>2013</v>
      </c>
      <c r="J10" s="14" t="s">
        <v>77</v>
      </c>
      <c r="K10" s="14" t="str">
        <f>_xlfn.TEXTJOIN(" - ",TRUE,E10,G10,J10,'بيانات المتدربين'!$A27,'بيانات المتدربين'!$I27)</f>
        <v>جنى راشد العطار - HR-2011 - 2013/09/20 - 1013 - 2008</v>
      </c>
    </row>
    <row r="11" spans="1:11" ht="18" customHeight="1" x14ac:dyDescent="0.25">
      <c r="A11" s="14">
        <v>2013</v>
      </c>
      <c r="B11" s="13" t="s">
        <v>281</v>
      </c>
      <c r="C11" s="14" t="s">
        <v>260</v>
      </c>
      <c r="D11" s="14" t="s">
        <v>181</v>
      </c>
      <c r="E11" s="14" t="s">
        <v>99</v>
      </c>
      <c r="F11" s="14" t="s">
        <v>348</v>
      </c>
      <c r="G11" s="14" t="s">
        <v>100</v>
      </c>
      <c r="H11" s="14" t="s">
        <v>337</v>
      </c>
      <c r="I11" s="14">
        <v>2014</v>
      </c>
      <c r="J11" s="14" t="s">
        <v>101</v>
      </c>
      <c r="K11" s="14" t="str">
        <f>_xlfn.TEXTJOIN(" - ",TRUE,E11,G11,J11,'بيانات المتدربين'!$A35,'بيانات المتدربين'!$I35)</f>
        <v>حمزة عياش المحمد - HR-2013 - 2014/07/20 - 1009 - 2011</v>
      </c>
    </row>
    <row r="12" spans="1:11" ht="18" customHeight="1" x14ac:dyDescent="0.25">
      <c r="A12" s="16">
        <v>1002</v>
      </c>
      <c r="B12" s="15" t="s">
        <v>231</v>
      </c>
      <c r="C12" s="16" t="s">
        <v>204</v>
      </c>
      <c r="D12" s="16" t="s">
        <v>152</v>
      </c>
      <c r="E12" s="16" t="s">
        <v>12</v>
      </c>
      <c r="F12" s="16" t="s">
        <v>348</v>
      </c>
      <c r="G12" s="16" t="s">
        <v>13</v>
      </c>
      <c r="H12" s="16" t="s">
        <v>336</v>
      </c>
      <c r="I12" s="16">
        <v>2009</v>
      </c>
      <c r="J12" s="16" t="s">
        <v>14</v>
      </c>
      <c r="K12" s="16" t="str">
        <f>_xlfn.TEXTJOIN(" - ",TRUE,E12,G12,J12,'بيانات المتدربين'!$A6,'بيانات المتدربين'!$I6)</f>
        <v>خالد عمر المصري - FIN-1002 - 2009/01/25 - 2015 - 2014</v>
      </c>
    </row>
    <row r="13" spans="1:11" ht="18" customHeight="1" x14ac:dyDescent="0.25">
      <c r="A13" s="16">
        <v>3018</v>
      </c>
      <c r="B13" s="15" t="s">
        <v>282</v>
      </c>
      <c r="C13" s="16" t="s">
        <v>261</v>
      </c>
      <c r="D13" s="16" t="s">
        <v>182</v>
      </c>
      <c r="E13" s="16" t="s">
        <v>102</v>
      </c>
      <c r="F13" s="16" t="s">
        <v>347</v>
      </c>
      <c r="G13" s="16" t="s">
        <v>103</v>
      </c>
      <c r="H13" s="16" t="s">
        <v>338</v>
      </c>
      <c r="I13" s="16">
        <v>2017</v>
      </c>
      <c r="J13" s="16" t="s">
        <v>104</v>
      </c>
      <c r="K13" s="16" t="str">
        <f>_xlfn.TEXTJOIN(" - ",TRUE,E13,G13,J13,'بيانات المتدربين'!$A36,'بيانات المتدربين'!$I36)</f>
        <v>خلود صائب بكر - ADM-3018 - 2017/11/10 - 4015 - 2011</v>
      </c>
    </row>
    <row r="14" spans="1:11" ht="18" customHeight="1" x14ac:dyDescent="0.25">
      <c r="A14" s="14">
        <v>4019</v>
      </c>
      <c r="B14" s="13" t="s">
        <v>246</v>
      </c>
      <c r="C14" s="14" t="s">
        <v>219</v>
      </c>
      <c r="D14" s="14" t="s">
        <v>167</v>
      </c>
      <c r="E14" s="14" t="s">
        <v>57</v>
      </c>
      <c r="F14" s="14" t="s">
        <v>347</v>
      </c>
      <c r="G14" s="14" t="s">
        <v>58</v>
      </c>
      <c r="H14" s="14" t="s">
        <v>339</v>
      </c>
      <c r="I14" s="14">
        <v>2019</v>
      </c>
      <c r="J14" s="14" t="s">
        <v>59</v>
      </c>
      <c r="K14" s="14" t="str">
        <f>_xlfn.TEXTJOIN(" - ",TRUE,E14,G14,J14,'بيانات المتدربين'!$A21,'بيانات المتدربين'!$I21)</f>
        <v>دينا نبيل بركات - LEG-4019 - 2019/01/15 - 2010 - 2011</v>
      </c>
    </row>
    <row r="15" spans="1:11" ht="18" customHeight="1" x14ac:dyDescent="0.25">
      <c r="A15" s="14">
        <v>4024</v>
      </c>
      <c r="B15" s="13" t="s">
        <v>287</v>
      </c>
      <c r="C15" s="14" t="s">
        <v>265</v>
      </c>
      <c r="D15" s="14" t="s">
        <v>186</v>
      </c>
      <c r="E15" s="14" t="s">
        <v>117</v>
      </c>
      <c r="F15" s="14" t="s">
        <v>348</v>
      </c>
      <c r="G15" s="14" t="s">
        <v>118</v>
      </c>
      <c r="H15" s="14" t="s">
        <v>339</v>
      </c>
      <c r="I15" s="14">
        <v>2018</v>
      </c>
      <c r="J15" s="14" t="s">
        <v>119</v>
      </c>
      <c r="K15" s="14" t="str">
        <f>_xlfn.TEXTJOIN(" - ",TRUE,E15,G15,J15,'بيانات المتدربين'!$A41,'بيانات المتدربين'!$I41)</f>
        <v>رامي غياث طعمة - LEG-4024 - 2018/03/30 - 2008 - 2011</v>
      </c>
    </row>
    <row r="16" spans="1:11" ht="18" customHeight="1" x14ac:dyDescent="0.25">
      <c r="A16" s="14">
        <v>4017</v>
      </c>
      <c r="B16" s="13" t="s">
        <v>238</v>
      </c>
      <c r="C16" s="14" t="s">
        <v>211</v>
      </c>
      <c r="D16" s="14" t="s">
        <v>159</v>
      </c>
      <c r="E16" s="14" t="s">
        <v>33</v>
      </c>
      <c r="F16" s="14" t="s">
        <v>347</v>
      </c>
      <c r="G16" s="14" t="s">
        <v>34</v>
      </c>
      <c r="H16" s="14" t="s">
        <v>339</v>
      </c>
      <c r="I16" s="14">
        <v>2010</v>
      </c>
      <c r="J16" s="14" t="s">
        <v>35</v>
      </c>
      <c r="K16" s="14" t="str">
        <f>_xlfn.TEXTJOIN(" - ",TRUE,E16,G16,J16,'بيانات المتدربين'!$A13,'بيانات المتدربين'!$I13)</f>
        <v>رشا عبد الله صقر - LEG-4017 - 2019/06/25 - 3018 - 2017</v>
      </c>
    </row>
    <row r="17" spans="1:11" ht="18" customHeight="1" x14ac:dyDescent="0.25">
      <c r="A17" s="14">
        <v>4018</v>
      </c>
      <c r="B17" s="13" t="s">
        <v>242</v>
      </c>
      <c r="C17" s="14" t="s">
        <v>215</v>
      </c>
      <c r="D17" s="14" t="s">
        <v>163</v>
      </c>
      <c r="E17" s="14" t="s">
        <v>45</v>
      </c>
      <c r="F17" s="14" t="s">
        <v>347</v>
      </c>
      <c r="G17" s="14" t="s">
        <v>46</v>
      </c>
      <c r="H17" s="14" t="s">
        <v>336</v>
      </c>
      <c r="I17" s="14">
        <v>2017</v>
      </c>
      <c r="J17" s="14" t="s">
        <v>47</v>
      </c>
      <c r="K17" s="14" t="str">
        <f>_xlfn.TEXTJOIN(" - ",TRUE,E17,G17,J17,'بيانات المتدربين'!$A17,'بيانات المتدربين'!$I17)</f>
        <v>رغد عدنان حمد - LEG-4018 - 2017/08/20 - 4018 - 2017</v>
      </c>
    </row>
    <row r="18" spans="1:11" ht="18" customHeight="1" x14ac:dyDescent="0.25">
      <c r="A18" s="16">
        <v>3012</v>
      </c>
      <c r="B18" s="15" t="s">
        <v>237</v>
      </c>
      <c r="C18" s="16" t="s">
        <v>210</v>
      </c>
      <c r="D18" s="16" t="s">
        <v>158</v>
      </c>
      <c r="E18" s="16" t="s">
        <v>30</v>
      </c>
      <c r="F18" s="16" t="s">
        <v>348</v>
      </c>
      <c r="G18" s="16" t="s">
        <v>31</v>
      </c>
      <c r="H18" s="16" t="s">
        <v>338</v>
      </c>
      <c r="I18" s="16">
        <v>2010</v>
      </c>
      <c r="J18" s="16" t="s">
        <v>32</v>
      </c>
      <c r="K18" s="16" t="str">
        <f>_xlfn.TEXTJOIN(" - ",TRUE,E18,G18,J18,'بيانات المتدربين'!$A12,'بيانات المتدربين'!$I12)</f>
        <v>زياد مطيع العبود - ADM-3012 - 2016/10/18 - 1002 - 2009</v>
      </c>
    </row>
    <row r="19" spans="1:11" ht="18" customHeight="1" x14ac:dyDescent="0.25">
      <c r="A19" s="16">
        <v>3010</v>
      </c>
      <c r="B19" s="15" t="s">
        <v>229</v>
      </c>
      <c r="C19" s="16" t="s">
        <v>202</v>
      </c>
      <c r="D19" s="16" t="s">
        <v>150</v>
      </c>
      <c r="E19" s="16" t="s">
        <v>6</v>
      </c>
      <c r="F19" s="16" t="s">
        <v>348</v>
      </c>
      <c r="G19" s="16" t="s">
        <v>7</v>
      </c>
      <c r="H19" s="16" t="s">
        <v>338</v>
      </c>
      <c r="I19" s="16">
        <v>2012</v>
      </c>
      <c r="J19" s="16" t="s">
        <v>8</v>
      </c>
      <c r="K19" s="16" t="str">
        <f>_xlfn.TEXTJOIN(" - ",TRUE,E19,G19,J19,'بيانات المتدربين'!$A4,'بيانات المتدربين'!$I4)</f>
        <v>سامر وليد الخطيب - ADM-3010 - 2015/03/15 - 3013 - 2014</v>
      </c>
    </row>
    <row r="20" spans="1:11" ht="18" customHeight="1" x14ac:dyDescent="0.25">
      <c r="A20" s="14">
        <v>2009</v>
      </c>
      <c r="B20" s="13" t="s">
        <v>244</v>
      </c>
      <c r="C20" s="14" t="s">
        <v>217</v>
      </c>
      <c r="D20" s="14" t="s">
        <v>165</v>
      </c>
      <c r="E20" s="14" t="s">
        <v>51</v>
      </c>
      <c r="F20" s="14" t="s">
        <v>347</v>
      </c>
      <c r="G20" s="14" t="s">
        <v>52</v>
      </c>
      <c r="H20" s="14" t="s">
        <v>337</v>
      </c>
      <c r="I20" s="14">
        <v>2013</v>
      </c>
      <c r="J20" s="14" t="s">
        <v>53</v>
      </c>
      <c r="K20" s="14" t="str">
        <f>_xlfn.TEXTJOIN(" - ",TRUE,E20,G20,J20,'بيانات المتدربين'!$A19,'بيانات المتدربين'!$I19)</f>
        <v>سحر ماجد القاضي - HR-2009 - 2013/05/10 - 3010 - 2012</v>
      </c>
    </row>
    <row r="21" spans="1:11" ht="18" customHeight="1" x14ac:dyDescent="0.25">
      <c r="A21" s="14">
        <v>2010</v>
      </c>
      <c r="B21" s="13" t="s">
        <v>248</v>
      </c>
      <c r="C21" s="14" t="s">
        <v>188</v>
      </c>
      <c r="D21" s="14" t="s">
        <v>169</v>
      </c>
      <c r="E21" s="14" t="s">
        <v>63</v>
      </c>
      <c r="F21" s="14" t="s">
        <v>347</v>
      </c>
      <c r="G21" s="14" t="s">
        <v>64</v>
      </c>
      <c r="H21" s="14" t="s">
        <v>337</v>
      </c>
      <c r="I21" s="14">
        <v>2011</v>
      </c>
      <c r="J21" s="14" t="s">
        <v>65</v>
      </c>
      <c r="K21" s="14" t="str">
        <f>_xlfn.TEXTJOIN(" - ",TRUE,E21,G21,J21,'بيانات المتدربين'!$A23,'بيانات المتدربين'!$I23)</f>
        <v>سلمى بشار الحكيم - HR-2010 - 2011/02/28 - 3012 - 2017</v>
      </c>
    </row>
    <row r="22" spans="1:11" ht="18" customHeight="1" x14ac:dyDescent="0.25">
      <c r="A22" s="16">
        <v>1011</v>
      </c>
      <c r="B22" s="15" t="s">
        <v>288</v>
      </c>
      <c r="C22" s="16" t="s">
        <v>266</v>
      </c>
      <c r="D22" s="16" t="s">
        <v>187</v>
      </c>
      <c r="E22" s="16" t="s">
        <v>120</v>
      </c>
      <c r="F22" s="16" t="s">
        <v>347</v>
      </c>
      <c r="G22" s="16" t="s">
        <v>121</v>
      </c>
      <c r="H22" s="16" t="s">
        <v>336</v>
      </c>
      <c r="I22" s="16">
        <v>2011</v>
      </c>
      <c r="J22" s="16" t="s">
        <v>122</v>
      </c>
      <c r="K22" s="16" t="str">
        <f>_xlfn.TEXTJOIN(" - ",TRUE,E22,G22,J22,'بيانات المتدربين'!$A42,'بيانات المتدربين'!$I42)</f>
        <v>سلوى ممدوح السيد - FIN-1011 - 2011/08/10 - 1010 - 2009</v>
      </c>
    </row>
    <row r="23" spans="1:11" ht="18" customHeight="1" x14ac:dyDescent="0.25">
      <c r="A23" s="16">
        <v>3012</v>
      </c>
      <c r="B23" s="15" t="s">
        <v>290</v>
      </c>
      <c r="C23" s="16" t="s">
        <v>268</v>
      </c>
      <c r="D23" s="16" t="s">
        <v>189</v>
      </c>
      <c r="E23" s="16" t="s">
        <v>126</v>
      </c>
      <c r="F23" s="16" t="s">
        <v>347</v>
      </c>
      <c r="G23" s="16" t="s">
        <v>31</v>
      </c>
      <c r="H23" s="16" t="s">
        <v>338</v>
      </c>
      <c r="I23" s="16">
        <v>2017</v>
      </c>
      <c r="J23" s="16" t="s">
        <v>127</v>
      </c>
      <c r="K23" s="16" t="str">
        <f>_xlfn.TEXTJOIN(" - ",TRUE,E23,G23,J23,'بيانات المتدربين'!$A44,'بيانات المتدربين'!$I44)</f>
        <v>صفاء عصمت الرفاعي - ADM-3012 - 2017/06/14 - 1008 - 2008</v>
      </c>
    </row>
    <row r="24" spans="1:11" ht="18" customHeight="1" x14ac:dyDescent="0.25">
      <c r="A24" s="16">
        <v>1004</v>
      </c>
      <c r="B24" s="15" t="s">
        <v>239</v>
      </c>
      <c r="C24" s="16" t="s">
        <v>212</v>
      </c>
      <c r="D24" s="16" t="s">
        <v>160</v>
      </c>
      <c r="E24" s="16" t="s">
        <v>36</v>
      </c>
      <c r="F24" s="16" t="s">
        <v>348</v>
      </c>
      <c r="G24" s="16" t="s">
        <v>37</v>
      </c>
      <c r="H24" s="16" t="s">
        <v>336</v>
      </c>
      <c r="I24" s="16">
        <v>2008</v>
      </c>
      <c r="J24" s="16" t="s">
        <v>38</v>
      </c>
      <c r="K24" s="16" t="str">
        <f>_xlfn.TEXTJOIN(" - ",TRUE,E24,G24,J24,'بيانات المتدربين'!$A14,'بيانات المتدربين'!$I14)</f>
        <v>طارق منير الخوري - FIN-1004 - 2008/03/12 - 4019 - 2019</v>
      </c>
    </row>
    <row r="25" spans="1:11" ht="18" customHeight="1" x14ac:dyDescent="0.25">
      <c r="A25" s="14">
        <v>4022</v>
      </c>
      <c r="B25" s="13" t="s">
        <v>279</v>
      </c>
      <c r="C25" s="14" t="s">
        <v>258</v>
      </c>
      <c r="D25" s="14" t="s">
        <v>179</v>
      </c>
      <c r="E25" s="14" t="s">
        <v>93</v>
      </c>
      <c r="F25" s="14" t="s">
        <v>348</v>
      </c>
      <c r="G25" s="14" t="s">
        <v>94</v>
      </c>
      <c r="H25" s="14" t="s">
        <v>339</v>
      </c>
      <c r="I25" s="14">
        <v>2018</v>
      </c>
      <c r="J25" s="14" t="s">
        <v>95</v>
      </c>
      <c r="K25" s="14" t="str">
        <f>_xlfn.TEXTJOIN(" - ",TRUE,E25,G25,J25,'بيانات المتدربين'!$A33,'بيانات المتدربين'!$I33)</f>
        <v>طلال أسامة فوزي - LEG-4022 - 2018/08/14 - 2012 - 2012</v>
      </c>
    </row>
    <row r="26" spans="1:11" ht="18" customHeight="1" x14ac:dyDescent="0.25">
      <c r="A26" s="14">
        <v>4020</v>
      </c>
      <c r="B26" s="13" t="s">
        <v>250</v>
      </c>
      <c r="C26" s="14" t="s">
        <v>222</v>
      </c>
      <c r="D26" s="14" t="s">
        <v>171</v>
      </c>
      <c r="E26" s="14" t="s">
        <v>69</v>
      </c>
      <c r="F26" s="14" t="s">
        <v>347</v>
      </c>
      <c r="G26" s="14" t="s">
        <v>70</v>
      </c>
      <c r="H26" s="14" t="s">
        <v>339</v>
      </c>
      <c r="I26" s="14">
        <v>2017</v>
      </c>
      <c r="J26" s="14" t="s">
        <v>71</v>
      </c>
      <c r="K26" s="14" t="str">
        <f>_xlfn.TEXTJOIN(" - ",TRUE,E26,G26,J26,'بيانات المتدربين'!$A25,'بيانات المتدربين'!$I25)</f>
        <v>عبير سيف الدين - LEG-4020 - 2017/12/01 - 4022 - 2018</v>
      </c>
    </row>
    <row r="27" spans="1:11" ht="18" customHeight="1" x14ac:dyDescent="0.25">
      <c r="A27" s="16">
        <v>1013</v>
      </c>
      <c r="B27" s="15" t="s">
        <v>295</v>
      </c>
      <c r="C27" s="16" t="s">
        <v>274</v>
      </c>
      <c r="D27" s="16" t="s">
        <v>195</v>
      </c>
      <c r="E27" s="16" t="s">
        <v>142</v>
      </c>
      <c r="F27" s="16" t="s">
        <v>347</v>
      </c>
      <c r="G27" s="16" t="s">
        <v>143</v>
      </c>
      <c r="H27" s="16" t="s">
        <v>336</v>
      </c>
      <c r="I27" s="16">
        <v>2008</v>
      </c>
      <c r="J27" s="16" t="s">
        <v>144</v>
      </c>
      <c r="K27" s="16" t="str">
        <f>_xlfn.TEXTJOIN(" - ",TRUE,E27,G27,J27,'بيانات المتدربين'!$A50,'بيانات المتدربين'!$I50)</f>
        <v>عزة خيري بيك - FIN-1013 - 2008/09/05 - 3011 - 2014</v>
      </c>
    </row>
    <row r="28" spans="1:11" ht="18" customHeight="1" x14ac:dyDescent="0.25">
      <c r="A28" s="14">
        <v>4023</v>
      </c>
      <c r="B28" s="13" t="s">
        <v>283</v>
      </c>
      <c r="C28" s="14" t="s">
        <v>262</v>
      </c>
      <c r="D28" s="14" t="s">
        <v>147</v>
      </c>
      <c r="E28" s="14" t="s">
        <v>105</v>
      </c>
      <c r="F28" s="14" t="s">
        <v>348</v>
      </c>
      <c r="G28" s="14" t="s">
        <v>106</v>
      </c>
      <c r="H28" s="14" t="s">
        <v>339</v>
      </c>
      <c r="I28" s="14">
        <v>2020</v>
      </c>
      <c r="J28" s="14" t="s">
        <v>107</v>
      </c>
      <c r="K28" s="14" t="str">
        <f>_xlfn.TEXTJOIN(" - ",TRUE,E28,G28,J28,'بيانات المتدربين'!$A37,'بيانات المتدربين'!$I37)</f>
        <v>عصام رشيد عثمان - LEG-4023 - 2020/02/05 - 3016 - 2016</v>
      </c>
    </row>
    <row r="29" spans="1:11" ht="18" customHeight="1" x14ac:dyDescent="0.25">
      <c r="A29" s="14">
        <v>4025</v>
      </c>
      <c r="B29" s="13" t="s">
        <v>291</v>
      </c>
      <c r="C29" s="14" t="s">
        <v>269</v>
      </c>
      <c r="D29" s="14" t="s">
        <v>190</v>
      </c>
      <c r="E29" s="14" t="s">
        <v>128</v>
      </c>
      <c r="F29" s="14" t="s">
        <v>348</v>
      </c>
      <c r="G29" s="14" t="s">
        <v>129</v>
      </c>
      <c r="H29" s="14" t="s">
        <v>339</v>
      </c>
      <c r="I29" s="14">
        <v>2020</v>
      </c>
      <c r="J29" s="14" t="s">
        <v>130</v>
      </c>
      <c r="K29" s="14" t="str">
        <f>_xlfn.TEXTJOIN(" - ",TRUE,E29,G29,J29,'بيانات المتدربين'!$A45,'بيانات المتدربين'!$I45)</f>
        <v>علاء تيسير حمود - LEG-4025 - 2020/09/01 - 4016 - 2017</v>
      </c>
    </row>
    <row r="30" spans="1:11" ht="18" customHeight="1" x14ac:dyDescent="0.25">
      <c r="A30" s="16">
        <v>3014</v>
      </c>
      <c r="B30" s="15" t="s">
        <v>245</v>
      </c>
      <c r="C30" s="16" t="s">
        <v>218</v>
      </c>
      <c r="D30" s="16" t="s">
        <v>166</v>
      </c>
      <c r="E30" s="16" t="s">
        <v>54</v>
      </c>
      <c r="F30" s="16" t="s">
        <v>348</v>
      </c>
      <c r="G30" s="16" t="s">
        <v>55</v>
      </c>
      <c r="H30" s="16" t="s">
        <v>338</v>
      </c>
      <c r="I30" s="16">
        <v>2016</v>
      </c>
      <c r="J30" s="16" t="s">
        <v>56</v>
      </c>
      <c r="K30" s="16" t="str">
        <f>_xlfn.TEXTJOIN(" - ",TRUE,E30,G30,J30,'بيانات المتدربين'!$A20,'بيانات المتدربين'!$I20)</f>
        <v>عمار زهير الصالح - ADM-3014 - 2016/09/05 - 2009 - 2013</v>
      </c>
    </row>
    <row r="31" spans="1:11" ht="18" customHeight="1" x14ac:dyDescent="0.25">
      <c r="A31" s="16">
        <v>3015</v>
      </c>
      <c r="B31" s="15" t="s">
        <v>249</v>
      </c>
      <c r="C31" s="16" t="s">
        <v>221</v>
      </c>
      <c r="D31" s="16" t="s">
        <v>170</v>
      </c>
      <c r="E31" s="16" t="s">
        <v>66</v>
      </c>
      <c r="F31" s="16" t="s">
        <v>348</v>
      </c>
      <c r="G31" s="16" t="s">
        <v>67</v>
      </c>
      <c r="H31" s="16" t="s">
        <v>338</v>
      </c>
      <c r="I31" s="16">
        <v>2014</v>
      </c>
      <c r="J31" s="16" t="s">
        <v>68</v>
      </c>
      <c r="K31" s="16" t="str">
        <f>_xlfn.TEXTJOIN(" - ",TRUE,E31,G31,J31,'بيانات المتدربين'!$A24,'بيانات المتدربين'!$I24)</f>
        <v>فادي مروان سلامة - ADM-3015 - 2014/08/14 - 1004 - 2008</v>
      </c>
    </row>
    <row r="32" spans="1:11" ht="18" customHeight="1" x14ac:dyDescent="0.25">
      <c r="A32" s="14">
        <v>2005</v>
      </c>
      <c r="B32" s="13" t="s">
        <v>228</v>
      </c>
      <c r="C32" s="14" t="s">
        <v>200</v>
      </c>
      <c r="D32" s="14" t="s">
        <v>149</v>
      </c>
      <c r="E32" s="14" t="s">
        <v>3</v>
      </c>
      <c r="F32" s="14" t="s">
        <v>347</v>
      </c>
      <c r="G32" s="14" t="s">
        <v>4</v>
      </c>
      <c r="H32" s="14" t="s">
        <v>338</v>
      </c>
      <c r="I32" s="14">
        <v>2012</v>
      </c>
      <c r="J32" s="14" t="s">
        <v>5</v>
      </c>
      <c r="K32" s="14" t="str">
        <f>_xlfn.TEXTJOIN(" - ",TRUE,E32,G32,J32,'بيانات المتدربين'!$A3,'بيانات المتدربين'!$I3)</f>
        <v>فاطمة محمود الحسن - HR-2005 - 2012/08/20 - 2014 - 2012</v>
      </c>
    </row>
    <row r="33" spans="1:11" ht="18" customHeight="1" x14ac:dyDescent="0.25">
      <c r="A33" s="14">
        <v>2012</v>
      </c>
      <c r="B33" s="13" t="s">
        <v>277</v>
      </c>
      <c r="C33" s="14" t="s">
        <v>256</v>
      </c>
      <c r="D33" s="14" t="s">
        <v>177</v>
      </c>
      <c r="E33" s="14" t="s">
        <v>87</v>
      </c>
      <c r="F33" s="14" t="s">
        <v>348</v>
      </c>
      <c r="G33" s="14" t="s">
        <v>88</v>
      </c>
      <c r="H33" s="14" t="s">
        <v>337</v>
      </c>
      <c r="I33" s="14">
        <v>2012</v>
      </c>
      <c r="J33" s="14" t="s">
        <v>89</v>
      </c>
      <c r="K33" s="14" t="str">
        <f>_xlfn.TEXTJOIN(" - ",TRUE,E33,G33,J33,'بيانات المتدربين'!$A31,'بيانات المتدربين'!$I31)</f>
        <v>فراس تميم العمر - HR-2012 - 2012/01/30 - 3015 - 2014</v>
      </c>
    </row>
    <row r="34" spans="1:11" ht="18" customHeight="1" x14ac:dyDescent="0.25">
      <c r="A34" s="16">
        <v>1007</v>
      </c>
      <c r="B34" s="15" t="s">
        <v>251</v>
      </c>
      <c r="C34" s="16" t="s">
        <v>223</v>
      </c>
      <c r="D34" s="16" t="s">
        <v>172</v>
      </c>
      <c r="E34" s="16" t="s">
        <v>72</v>
      </c>
      <c r="F34" s="16" t="s">
        <v>348</v>
      </c>
      <c r="G34" s="16" t="s">
        <v>73</v>
      </c>
      <c r="H34" s="16" t="s">
        <v>336</v>
      </c>
      <c r="I34" s="16">
        <v>2010</v>
      </c>
      <c r="J34" s="16" t="s">
        <v>74</v>
      </c>
      <c r="K34" s="16" t="str">
        <f>_xlfn.TEXTJOIN(" - ",TRUE,E34,G34,J34,'بيانات المتدربين'!$A26,'بيانات المتدربين'!$I26)</f>
        <v>قيس حاتم الراوي - FIN-1007 - 2010/06/15 - 4020 - 2017</v>
      </c>
    </row>
    <row r="35" spans="1:11" ht="18" customHeight="1" x14ac:dyDescent="0.25">
      <c r="A35" s="16">
        <v>1009</v>
      </c>
      <c r="B35" s="15" t="s">
        <v>280</v>
      </c>
      <c r="C35" s="16" t="s">
        <v>259</v>
      </c>
      <c r="D35" s="16" t="s">
        <v>180</v>
      </c>
      <c r="E35" s="16" t="s">
        <v>96</v>
      </c>
      <c r="F35" s="16" t="s">
        <v>347</v>
      </c>
      <c r="G35" s="16" t="s">
        <v>97</v>
      </c>
      <c r="H35" s="16" t="s">
        <v>336</v>
      </c>
      <c r="I35" s="16">
        <v>2011</v>
      </c>
      <c r="J35" s="16" t="s">
        <v>98</v>
      </c>
      <c r="K35" s="16" t="str">
        <f>_xlfn.TEXTJOIN(" - ",TRUE,E35,G35,J35,'بيانات المتدربين'!$A34,'بيانات المتدربين'!$I34)</f>
        <v>لمى نوري الشعلان - FIN-1009 - 2011/03/15 - 1007 - 2010</v>
      </c>
    </row>
    <row r="36" spans="1:11" ht="18" customHeight="1" x14ac:dyDescent="0.25">
      <c r="A36" s="14">
        <v>4015</v>
      </c>
      <c r="B36" s="13" t="s">
        <v>230</v>
      </c>
      <c r="C36" s="14" t="s">
        <v>203</v>
      </c>
      <c r="D36" s="14" t="s">
        <v>151</v>
      </c>
      <c r="E36" s="14" t="s">
        <v>9</v>
      </c>
      <c r="F36" s="14" t="s">
        <v>347</v>
      </c>
      <c r="G36" s="14" t="s">
        <v>10</v>
      </c>
      <c r="H36" s="14" t="s">
        <v>339</v>
      </c>
      <c r="I36" s="14">
        <v>2011</v>
      </c>
      <c r="J36" s="14" t="s">
        <v>11</v>
      </c>
      <c r="K36" s="14" t="str">
        <f>_xlfn.TEXTJOIN(" - ",TRUE,E36,G36,J36,'بيانات المتدربين'!$A5,'بيانات المتدربين'!$I5)</f>
        <v>ليلى عبد الرحمن يوسف - LEG-4015 - 2018/11/02 - 1001 - 2010</v>
      </c>
    </row>
    <row r="37" spans="1:11" ht="18" customHeight="1" x14ac:dyDescent="0.25">
      <c r="A37" s="16">
        <v>3016</v>
      </c>
      <c r="B37" s="15" t="s">
        <v>253</v>
      </c>
      <c r="C37" s="16" t="s">
        <v>225</v>
      </c>
      <c r="D37" s="16" t="s">
        <v>174</v>
      </c>
      <c r="E37" s="16" t="s">
        <v>78</v>
      </c>
      <c r="F37" s="16" t="s">
        <v>348</v>
      </c>
      <c r="G37" s="16" t="s">
        <v>79</v>
      </c>
      <c r="H37" s="16" t="s">
        <v>338</v>
      </c>
      <c r="I37" s="16">
        <v>2016</v>
      </c>
      <c r="J37" s="16" t="s">
        <v>80</v>
      </c>
      <c r="K37" s="16" t="str">
        <f>_xlfn.TEXTJOIN(" - ",TRUE,E37,G37,J37,'بيانات المتدربين'!$A28,'بيانات المتدربين'!$I28)</f>
        <v>مازن وفيق شاهين - ADM-3016 - 2016/04/10 - 4023 - 2020</v>
      </c>
    </row>
    <row r="38" spans="1:11" ht="18" customHeight="1" x14ac:dyDescent="0.25">
      <c r="A38" s="16">
        <v>1012</v>
      </c>
      <c r="B38" s="15" t="s">
        <v>292</v>
      </c>
      <c r="C38" s="16" t="s">
        <v>270</v>
      </c>
      <c r="D38" s="16" t="s">
        <v>191</v>
      </c>
      <c r="E38" s="16" t="s">
        <v>131</v>
      </c>
      <c r="F38" s="16" t="s">
        <v>347</v>
      </c>
      <c r="G38" s="16" t="s">
        <v>132</v>
      </c>
      <c r="H38" s="16" t="s">
        <v>336</v>
      </c>
      <c r="I38" s="16">
        <v>2010</v>
      </c>
      <c r="J38" s="16" t="s">
        <v>133</v>
      </c>
      <c r="K38" s="16" t="str">
        <f>_xlfn.TEXTJOIN(" - ",TRUE,E38,G38,J38,'بيانات المتدربين'!$A46,'بيانات المتدربين'!$I46)</f>
        <v>مروة يونس الناصر - FIN-1012 - 2010/02/20 - 2007 - 2010</v>
      </c>
    </row>
    <row r="39" spans="1:11" ht="18" customHeight="1" x14ac:dyDescent="0.25">
      <c r="A39" s="14">
        <v>2006</v>
      </c>
      <c r="B39" s="13" t="s">
        <v>232</v>
      </c>
      <c r="C39" s="14" t="s">
        <v>205</v>
      </c>
      <c r="D39" s="14" t="s">
        <v>153</v>
      </c>
      <c r="E39" s="14" t="s">
        <v>15</v>
      </c>
      <c r="F39" s="14" t="s">
        <v>347</v>
      </c>
      <c r="G39" s="14" t="s">
        <v>16</v>
      </c>
      <c r="H39" s="14" t="s">
        <v>337</v>
      </c>
      <c r="I39" s="14">
        <v>2011</v>
      </c>
      <c r="J39" s="14" t="s">
        <v>17</v>
      </c>
      <c r="K39" s="14" t="str">
        <f>_xlfn.TEXTJOIN(" - ",TRUE,E39,G39,J39,'بيانات المتدربين'!$A7,'بيانات المتدربين'!$I7)</f>
        <v>مريم إبراهيم الدالي - HR-2006 - 2011/07/14 - 2016 - 2013</v>
      </c>
    </row>
    <row r="40" spans="1:11" ht="18" customHeight="1" x14ac:dyDescent="0.25">
      <c r="A40" s="16">
        <v>1003</v>
      </c>
      <c r="B40" s="15" t="s">
        <v>235</v>
      </c>
      <c r="C40" s="16" t="s">
        <v>208</v>
      </c>
      <c r="D40" s="16" t="s">
        <v>156</v>
      </c>
      <c r="E40" s="16" t="s">
        <v>24</v>
      </c>
      <c r="F40" s="16" t="s">
        <v>348</v>
      </c>
      <c r="G40" s="16" t="s">
        <v>25</v>
      </c>
      <c r="H40" s="16" t="s">
        <v>336</v>
      </c>
      <c r="I40" s="16">
        <v>2010</v>
      </c>
      <c r="J40" s="16" t="s">
        <v>26</v>
      </c>
      <c r="K40" s="16" t="str">
        <f>_xlfn.TEXTJOIN(" - ",TRUE,E40,G40,J40,'بيانات المتدربين'!$A10,'بيانات المتدربين'!$I10)</f>
        <v>مصطفى كمال الزين - FIN-1003 - 2010/09/10 - 3013 - 2013</v>
      </c>
    </row>
    <row r="41" spans="1:11" ht="18" customHeight="1" x14ac:dyDescent="0.25">
      <c r="A41" s="14">
        <v>2008</v>
      </c>
      <c r="B41" s="13" t="s">
        <v>240</v>
      </c>
      <c r="C41" s="14" t="s">
        <v>213</v>
      </c>
      <c r="D41" s="14" t="s">
        <v>161</v>
      </c>
      <c r="E41" s="14" t="s">
        <v>39</v>
      </c>
      <c r="F41" s="14" t="s">
        <v>347</v>
      </c>
      <c r="G41" s="14" t="s">
        <v>40</v>
      </c>
      <c r="H41" s="14" t="s">
        <v>338</v>
      </c>
      <c r="I41" s="14">
        <v>2011</v>
      </c>
      <c r="J41" s="14" t="s">
        <v>41</v>
      </c>
      <c r="K41" s="14" t="str">
        <f>_xlfn.TEXTJOIN(" - ",TRUE,E41,G41,J41,'بيانات المتدربين'!$A15,'بيانات المتدربين'!$I15)</f>
        <v>منى عادل خليل - HR-2008 - 2011/11/30 - 4024 - 2018</v>
      </c>
    </row>
    <row r="42" spans="1:11" ht="18" customHeight="1" x14ac:dyDescent="0.25">
      <c r="A42" s="16">
        <v>1010</v>
      </c>
      <c r="B42" s="15" t="s">
        <v>284</v>
      </c>
      <c r="C42" s="16" t="s">
        <v>216</v>
      </c>
      <c r="D42" s="16" t="s">
        <v>183</v>
      </c>
      <c r="E42" s="16" t="s">
        <v>108</v>
      </c>
      <c r="F42" s="16" t="s">
        <v>347</v>
      </c>
      <c r="G42" s="16" t="s">
        <v>109</v>
      </c>
      <c r="H42" s="16" t="s">
        <v>336</v>
      </c>
      <c r="I42" s="16">
        <v>2009</v>
      </c>
      <c r="J42" s="16" t="s">
        <v>110</v>
      </c>
      <c r="K42" s="16" t="str">
        <f>_xlfn.TEXTJOIN(" - ",TRUE,E42,G42,J42,'بيانات المتدربين'!$A38,'بيانات المتدربين'!$I38)</f>
        <v>ميادة توفيق حمدان - FIN-1010 - 2009/05/12 - 1012 - 2010</v>
      </c>
    </row>
    <row r="43" spans="1:11" ht="18" customHeight="1" x14ac:dyDescent="0.25">
      <c r="A43" s="16">
        <v>3019</v>
      </c>
      <c r="B43" s="15" t="s">
        <v>286</v>
      </c>
      <c r="C43" s="16" t="s">
        <v>264</v>
      </c>
      <c r="D43" s="16" t="s">
        <v>185</v>
      </c>
      <c r="E43" s="16" t="s">
        <v>114</v>
      </c>
      <c r="F43" s="16" t="s">
        <v>347</v>
      </c>
      <c r="G43" s="16" t="s">
        <v>115</v>
      </c>
      <c r="H43" s="16" t="s">
        <v>338</v>
      </c>
      <c r="I43" s="16">
        <v>2015</v>
      </c>
      <c r="J43" s="16" t="s">
        <v>116</v>
      </c>
      <c r="K43" s="16" t="str">
        <f>_xlfn.TEXTJOIN(" - ",TRUE,E43,G43,J43,'بيانات المتدربين'!$A40,'بيانات المتدربين'!$I40)</f>
        <v>نجلاء ظافر العبد - ADM-3019 - 2015/12/15 - 1003 - 2010</v>
      </c>
    </row>
    <row r="44" spans="1:11" ht="18" customHeight="1" x14ac:dyDescent="0.25">
      <c r="A44" s="16">
        <v>1008</v>
      </c>
      <c r="B44" s="15" t="s">
        <v>276</v>
      </c>
      <c r="C44" s="16" t="s">
        <v>255</v>
      </c>
      <c r="D44" s="16" t="s">
        <v>176</v>
      </c>
      <c r="E44" s="16" t="s">
        <v>84</v>
      </c>
      <c r="F44" s="16" t="s">
        <v>347</v>
      </c>
      <c r="G44" s="16" t="s">
        <v>85</v>
      </c>
      <c r="H44" s="16" t="s">
        <v>336</v>
      </c>
      <c r="I44" s="16">
        <v>2008</v>
      </c>
      <c r="J44" s="16" t="s">
        <v>86</v>
      </c>
      <c r="K44" s="16" t="str">
        <f>_xlfn.TEXTJOIN(" - ",TRUE,E44,G44,J44,'بيانات المتدربين'!$A30,'بيانات المتدربين'!$I30)</f>
        <v>ندى موفق درويش - FIN-1008 - 2008/11/12 - 3014 - 2016</v>
      </c>
    </row>
    <row r="45" spans="1:11" ht="18" customHeight="1" x14ac:dyDescent="0.25">
      <c r="A45" s="14">
        <v>4016</v>
      </c>
      <c r="B45" s="13" t="s">
        <v>234</v>
      </c>
      <c r="C45" s="14" t="s">
        <v>207</v>
      </c>
      <c r="D45" s="14" t="s">
        <v>155</v>
      </c>
      <c r="E45" s="14" t="s">
        <v>21</v>
      </c>
      <c r="F45" s="14" t="s">
        <v>347</v>
      </c>
      <c r="G45" s="14" t="s">
        <v>22</v>
      </c>
      <c r="H45" s="14" t="s">
        <v>339</v>
      </c>
      <c r="I45" s="14">
        <v>2017</v>
      </c>
      <c r="J45" s="14" t="s">
        <v>23</v>
      </c>
      <c r="K45" s="14" t="str">
        <f>_xlfn.TEXTJOIN(" - ",TRUE,E45,G45,J45,'بيانات المتدربين'!$A9,'بيانات المتدربين'!$I9)</f>
        <v>نور الهدى صالح - LEG-4016 - 2017/04/22 - 4026 - 2019</v>
      </c>
    </row>
    <row r="46" spans="1:11" ht="18" customHeight="1" x14ac:dyDescent="0.25">
      <c r="A46" s="14">
        <v>2007</v>
      </c>
      <c r="B46" s="13" t="s">
        <v>236</v>
      </c>
      <c r="C46" s="14" t="s">
        <v>209</v>
      </c>
      <c r="D46" s="14" t="s">
        <v>157</v>
      </c>
      <c r="E46" s="14" t="s">
        <v>27</v>
      </c>
      <c r="F46" s="14" t="s">
        <v>347</v>
      </c>
      <c r="G46" s="14" t="s">
        <v>28</v>
      </c>
      <c r="H46" s="14" t="s">
        <v>338</v>
      </c>
      <c r="I46" s="14">
        <v>2010</v>
      </c>
      <c r="J46" s="14" t="s">
        <v>29</v>
      </c>
      <c r="K46" s="14" t="str">
        <f>_xlfn.TEXTJOIN(" - ",TRUE,E46,G46,J46,'بيانات المتدربين'!$A11,'بيانات المتدربين'!$I11)</f>
        <v>هالة سمير غانم - HR-2007 - 2013/02/05 - 2013 - 2014</v>
      </c>
    </row>
    <row r="47" spans="1:11" ht="18" customHeight="1" x14ac:dyDescent="0.25">
      <c r="A47" s="16">
        <v>3017</v>
      </c>
      <c r="B47" s="15" t="s">
        <v>278</v>
      </c>
      <c r="C47" s="16" t="s">
        <v>257</v>
      </c>
      <c r="D47" s="16" t="s">
        <v>178</v>
      </c>
      <c r="E47" s="16" t="s">
        <v>90</v>
      </c>
      <c r="F47" s="16" t="s">
        <v>347</v>
      </c>
      <c r="G47" s="16" t="s">
        <v>91</v>
      </c>
      <c r="H47" s="16" t="s">
        <v>338</v>
      </c>
      <c r="I47" s="16">
        <v>2015</v>
      </c>
      <c r="J47" s="16" t="s">
        <v>92</v>
      </c>
      <c r="K47" s="16" t="str">
        <f>_xlfn.TEXTJOIN(" - ",TRUE,E47,G47,J47,'بيانات المتدربين'!$A32,'بيانات المتدربين'!$I32)</f>
        <v>هبة نزار المرعي - ADM-3017 - 2015/05/25 - 2005 - 2012</v>
      </c>
    </row>
    <row r="48" spans="1:11" ht="18" customHeight="1" x14ac:dyDescent="0.25">
      <c r="A48" s="16">
        <v>1005</v>
      </c>
      <c r="B48" s="15" t="s">
        <v>243</v>
      </c>
      <c r="C48" s="16" t="s">
        <v>216</v>
      </c>
      <c r="D48" s="16" t="s">
        <v>164</v>
      </c>
      <c r="E48" s="16" t="s">
        <v>48</v>
      </c>
      <c r="F48" s="16" t="s">
        <v>348</v>
      </c>
      <c r="G48" s="16" t="s">
        <v>49</v>
      </c>
      <c r="H48" s="16" t="s">
        <v>336</v>
      </c>
      <c r="I48" s="16">
        <v>2010</v>
      </c>
      <c r="J48" s="16" t="s">
        <v>50</v>
      </c>
      <c r="K48" s="16" t="str">
        <f>_xlfn.TEXTJOIN(" - ",TRUE,E48,G48,J48,'بيانات المتدربين'!$A18,'بيانات المتدربين'!$I18)</f>
        <v>هيثم توفيق منصور - FIN-1005 - 2010/12/01 - 3012 - 2010</v>
      </c>
    </row>
    <row r="49" spans="1:11" ht="18" customHeight="1" x14ac:dyDescent="0.25">
      <c r="A49" s="16">
        <v>1006</v>
      </c>
      <c r="B49" s="15" t="s">
        <v>247</v>
      </c>
      <c r="C49" s="16" t="s">
        <v>220</v>
      </c>
      <c r="D49" s="16" t="s">
        <v>168</v>
      </c>
      <c r="E49" s="16" t="s">
        <v>60</v>
      </c>
      <c r="F49" s="16" t="s">
        <v>348</v>
      </c>
      <c r="G49" s="16" t="s">
        <v>61</v>
      </c>
      <c r="H49" s="16" t="s">
        <v>336</v>
      </c>
      <c r="I49" s="16">
        <v>2007</v>
      </c>
      <c r="J49" s="16" t="s">
        <v>62</v>
      </c>
      <c r="K49" s="16" t="str">
        <f>_xlfn.TEXTJOIN(" - ",TRUE,E49,G49,J49,'بيانات المتدربين'!$A22,'بيانات المتدربين'!$I22)</f>
        <v>وائل غسان حداد - FIN-1006 - 2007/04/22 - 1011 - 2011</v>
      </c>
    </row>
    <row r="50" spans="1:11" ht="18" customHeight="1" x14ac:dyDescent="0.25">
      <c r="A50" s="16">
        <v>3011</v>
      </c>
      <c r="B50" s="15" t="s">
        <v>233</v>
      </c>
      <c r="C50" s="16" t="s">
        <v>206</v>
      </c>
      <c r="D50" s="16" t="s">
        <v>154</v>
      </c>
      <c r="E50" s="16" t="s">
        <v>18</v>
      </c>
      <c r="F50" s="16" t="s">
        <v>348</v>
      </c>
      <c r="G50" s="16" t="s">
        <v>19</v>
      </c>
      <c r="H50" s="16" t="s">
        <v>338</v>
      </c>
      <c r="I50" s="16">
        <v>2014</v>
      </c>
      <c r="J50" s="16" t="s">
        <v>20</v>
      </c>
      <c r="K50" s="16" t="str">
        <f>_xlfn.TEXTJOIN(" - ",TRUE,E50,G50,J50,'بيانات المتدربين'!$A8,'بيانات المتدربين'!$I8)</f>
        <v>ياسر فايز الجاسم - ADM-3011 - 2014/12/30 - 3021 - 2016</v>
      </c>
    </row>
    <row r="51" spans="1:11" ht="18" customHeight="1" x14ac:dyDescent="0.25">
      <c r="A51" s="14">
        <v>2017</v>
      </c>
      <c r="B51" s="13" t="s">
        <v>296</v>
      </c>
      <c r="C51" s="14" t="s">
        <v>275</v>
      </c>
      <c r="D51" s="14" t="s">
        <v>196</v>
      </c>
      <c r="E51" s="14" t="s">
        <v>304</v>
      </c>
      <c r="F51" s="14" t="s">
        <v>348</v>
      </c>
      <c r="G51" s="14" t="s">
        <v>145</v>
      </c>
      <c r="H51" s="14" t="s">
        <v>337</v>
      </c>
      <c r="I51" s="14">
        <v>2012</v>
      </c>
      <c r="J51" s="14" t="s">
        <v>146</v>
      </c>
      <c r="K51" s="14" t="str">
        <f>_xlfn.TEXTJOIN(" - ",TRUE,E51,G51,J51,'بيانات المتدربين'!$A51,'بيانات المتدربين'!$I51)</f>
        <v>يمان ظهير الحسن - HR-2017 - 2012/05/12 - 2017 - 2012</v>
      </c>
    </row>
  </sheetData>
  <sheetProtection algorithmName="SHA-512" hashValue="dYkvPWq7QaQLK3Lz4gYWC4YS4pNOQn1heZBnR0XMLP8JaJpWuytwEuNEI7Nz2UeQVSYEeh7jvXZ+GDtTX40FSg==" saltValue="3y8xDtjp1laH+1UpZ6cOgg==" spinCount="100000" sheet="1" objects="1" scenarios="1"/>
  <phoneticPr fontId="2" type="noConversion"/>
  <conditionalFormatting sqref="A52:A1048576">
    <cfRule type="duplicateValues" dxfId="0" priority="6"/>
  </conditionalFormatting>
  <pageMargins left="0.75" right="0.75" top="1" bottom="1" header="0.5" footer="0.5"/>
  <cellWatches>
    <cellWatch r="G1"/>
    <cellWatch r="G2"/>
    <cellWatch r="G3"/>
    <cellWatch r="G4"/>
    <cellWatch r="G5"/>
    <cellWatch r="G6"/>
    <cellWatch r="G7"/>
    <cellWatch r="G8"/>
    <cellWatch r="G9"/>
    <cellWatch r="G10"/>
    <cellWatch r="G11"/>
    <cellWatch r="G12"/>
    <cellWatch r="G13"/>
    <cellWatch r="G14"/>
    <cellWatch r="G15"/>
    <cellWatch r="G16"/>
    <cellWatch r="G17"/>
    <cellWatch r="G18"/>
    <cellWatch r="G19"/>
    <cellWatch r="G20"/>
    <cellWatch r="G21"/>
    <cellWatch r="G22"/>
    <cellWatch r="G23"/>
    <cellWatch r="G24"/>
    <cellWatch r="G25"/>
    <cellWatch r="G26"/>
    <cellWatch r="G27"/>
    <cellWatch r="G28"/>
    <cellWatch r="G29"/>
    <cellWatch r="G30"/>
    <cellWatch r="G31"/>
    <cellWatch r="G32"/>
    <cellWatch r="G33"/>
    <cellWatch r="G34"/>
    <cellWatch r="G35"/>
    <cellWatch r="G36"/>
    <cellWatch r="G37"/>
    <cellWatch r="G38"/>
    <cellWatch r="G39"/>
    <cellWatch r="G40"/>
    <cellWatch r="G41"/>
    <cellWatch r="G42"/>
    <cellWatch r="G43"/>
    <cellWatch r="G44"/>
    <cellWatch r="G45"/>
    <cellWatch r="G46"/>
    <cellWatch r="G47"/>
    <cellWatch r="G48"/>
    <cellWatch r="G49"/>
    <cellWatch r="G50"/>
    <cellWatch r="G51"/>
    <cellWatch r="G52"/>
    <cellWatch r="G53"/>
    <cellWatch r="G54"/>
    <cellWatch r="G55"/>
    <cellWatch r="G56"/>
    <cellWatch r="G57"/>
    <cellWatch r="G58"/>
    <cellWatch r="G59"/>
    <cellWatch r="G60"/>
    <cellWatch r="G61"/>
    <cellWatch r="G62"/>
    <cellWatch r="G63"/>
    <cellWatch r="G64"/>
    <cellWatch r="G65"/>
    <cellWatch r="G66"/>
    <cellWatch r="G67"/>
    <cellWatch r="G68"/>
    <cellWatch r="G69"/>
    <cellWatch r="G70"/>
    <cellWatch r="G71"/>
    <cellWatch r="G72"/>
    <cellWatch r="G73"/>
    <cellWatch r="G74"/>
    <cellWatch r="G75"/>
    <cellWatch r="G76"/>
    <cellWatch r="G77"/>
    <cellWatch r="G78"/>
    <cellWatch r="G79"/>
    <cellWatch r="G80"/>
    <cellWatch r="G81"/>
    <cellWatch r="G82"/>
    <cellWatch r="G83"/>
    <cellWatch r="G84"/>
    <cellWatch r="G85"/>
    <cellWatch r="G86"/>
    <cellWatch r="G87"/>
    <cellWatch r="G88"/>
    <cellWatch r="G89"/>
    <cellWatch r="G90"/>
    <cellWatch r="G91"/>
    <cellWatch r="G92"/>
    <cellWatch r="G93"/>
    <cellWatch r="G94"/>
    <cellWatch r="G95"/>
    <cellWatch r="G96"/>
    <cellWatch r="G97"/>
    <cellWatch r="G98"/>
    <cellWatch r="G99"/>
    <cellWatch r="G100"/>
    <cellWatch r="G101"/>
    <cellWatch r="G102"/>
    <cellWatch r="G103"/>
    <cellWatch r="G104"/>
    <cellWatch r="G105"/>
    <cellWatch r="G106"/>
    <cellWatch r="G107"/>
    <cellWatch r="G108"/>
    <cellWatch r="G109"/>
    <cellWatch r="G110"/>
    <cellWatch r="G111"/>
    <cellWatch r="G112"/>
    <cellWatch r="G113"/>
    <cellWatch r="G114"/>
    <cellWatch r="G115"/>
    <cellWatch r="G116"/>
    <cellWatch r="G117"/>
    <cellWatch r="G118"/>
    <cellWatch r="G119"/>
    <cellWatch r="G120"/>
    <cellWatch r="G121"/>
    <cellWatch r="G122"/>
    <cellWatch r="G123"/>
    <cellWatch r="G124"/>
    <cellWatch r="G125"/>
    <cellWatch r="G126"/>
    <cellWatch r="G127"/>
    <cellWatch r="G128"/>
    <cellWatch r="G129"/>
    <cellWatch r="G130"/>
    <cellWatch r="G131"/>
    <cellWatch r="G132"/>
    <cellWatch r="G133"/>
    <cellWatch r="G134"/>
    <cellWatch r="G135"/>
    <cellWatch r="G136"/>
    <cellWatch r="G137"/>
    <cellWatch r="G138"/>
    <cellWatch r="G139"/>
    <cellWatch r="G140"/>
    <cellWatch r="G141"/>
    <cellWatch r="G142"/>
    <cellWatch r="G143"/>
    <cellWatch r="G144"/>
    <cellWatch r="G145"/>
    <cellWatch r="G146"/>
    <cellWatch r="G147"/>
    <cellWatch r="G148"/>
    <cellWatch r="G149"/>
    <cellWatch r="G150"/>
    <cellWatch r="G151"/>
    <cellWatch r="G152"/>
    <cellWatch r="G153"/>
    <cellWatch r="G154"/>
    <cellWatch r="G155"/>
    <cellWatch r="G156"/>
    <cellWatch r="G157"/>
    <cellWatch r="G158"/>
    <cellWatch r="G159"/>
    <cellWatch r="G160"/>
    <cellWatch r="G161"/>
    <cellWatch r="G162"/>
    <cellWatch r="G163"/>
    <cellWatch r="G164"/>
    <cellWatch r="G165"/>
    <cellWatch r="G166"/>
    <cellWatch r="G167"/>
    <cellWatch r="G168"/>
    <cellWatch r="G169"/>
    <cellWatch r="G170"/>
    <cellWatch r="G171"/>
    <cellWatch r="G172"/>
    <cellWatch r="G173"/>
    <cellWatch r="G174"/>
    <cellWatch r="G175"/>
    <cellWatch r="G176"/>
    <cellWatch r="G177"/>
    <cellWatch r="G178"/>
    <cellWatch r="G179"/>
    <cellWatch r="G180"/>
    <cellWatch r="G181"/>
    <cellWatch r="G182"/>
    <cellWatch r="G183"/>
    <cellWatch r="G184"/>
    <cellWatch r="G185"/>
    <cellWatch r="G186"/>
    <cellWatch r="G187"/>
    <cellWatch r="G188"/>
    <cellWatch r="G189"/>
    <cellWatch r="G190"/>
    <cellWatch r="G191"/>
    <cellWatch r="G192"/>
    <cellWatch r="G193"/>
    <cellWatch r="G194"/>
    <cellWatch r="G195"/>
    <cellWatch r="G196"/>
    <cellWatch r="G197"/>
    <cellWatch r="G198"/>
    <cellWatch r="G199"/>
    <cellWatch r="G200"/>
    <cellWatch r="G201"/>
    <cellWatch r="G202"/>
    <cellWatch r="G203"/>
    <cellWatch r="G204"/>
    <cellWatch r="G205"/>
    <cellWatch r="G206"/>
    <cellWatch r="G207"/>
    <cellWatch r="G208"/>
    <cellWatch r="G209"/>
    <cellWatch r="G210"/>
    <cellWatch r="G211"/>
    <cellWatch r="G212"/>
    <cellWatch r="G213"/>
    <cellWatch r="G214"/>
    <cellWatch r="G215"/>
    <cellWatch r="G216"/>
    <cellWatch r="G217"/>
    <cellWatch r="G218"/>
    <cellWatch r="G219"/>
    <cellWatch r="G220"/>
    <cellWatch r="G221"/>
    <cellWatch r="G222"/>
    <cellWatch r="G223"/>
    <cellWatch r="G224"/>
    <cellWatch r="G225"/>
    <cellWatch r="G226"/>
    <cellWatch r="G227"/>
    <cellWatch r="G228"/>
    <cellWatch r="G229"/>
    <cellWatch r="G230"/>
    <cellWatch r="G231"/>
    <cellWatch r="G232"/>
    <cellWatch r="G233"/>
    <cellWatch r="G234"/>
    <cellWatch r="G235"/>
    <cellWatch r="G236"/>
    <cellWatch r="G237"/>
    <cellWatch r="G238"/>
    <cellWatch r="G239"/>
    <cellWatch r="G240"/>
    <cellWatch r="G241"/>
    <cellWatch r="G242"/>
    <cellWatch r="G243"/>
    <cellWatch r="G244"/>
    <cellWatch r="G245"/>
    <cellWatch r="G246"/>
    <cellWatch r="G247"/>
    <cellWatch r="G248"/>
    <cellWatch r="G249"/>
    <cellWatch r="G250"/>
    <cellWatch r="G251"/>
    <cellWatch r="G252"/>
    <cellWatch r="G253"/>
    <cellWatch r="G254"/>
    <cellWatch r="G255"/>
    <cellWatch r="G256"/>
    <cellWatch r="G257"/>
    <cellWatch r="G258"/>
    <cellWatch r="G259"/>
    <cellWatch r="G260"/>
    <cellWatch r="G261"/>
    <cellWatch r="G262"/>
    <cellWatch r="G263"/>
    <cellWatch r="G264"/>
    <cellWatch r="G265"/>
    <cellWatch r="G266"/>
    <cellWatch r="G267"/>
    <cellWatch r="G268"/>
    <cellWatch r="G269"/>
    <cellWatch r="G270"/>
    <cellWatch r="G271"/>
    <cellWatch r="G272"/>
    <cellWatch r="G273"/>
    <cellWatch r="G274"/>
    <cellWatch r="G275"/>
    <cellWatch r="G276"/>
    <cellWatch r="G277"/>
    <cellWatch r="G278"/>
    <cellWatch r="G279"/>
    <cellWatch r="G280"/>
    <cellWatch r="G281"/>
    <cellWatch r="G282"/>
    <cellWatch r="G283"/>
    <cellWatch r="G284"/>
    <cellWatch r="G285"/>
    <cellWatch r="G286"/>
    <cellWatch r="G287"/>
    <cellWatch r="G288"/>
    <cellWatch r="G289"/>
    <cellWatch r="G290"/>
    <cellWatch r="G291"/>
    <cellWatch r="G292"/>
    <cellWatch r="G293"/>
    <cellWatch r="G294"/>
    <cellWatch r="G295"/>
    <cellWatch r="G296"/>
    <cellWatch r="G297"/>
    <cellWatch r="G298"/>
    <cellWatch r="G299"/>
    <cellWatch r="G300"/>
    <cellWatch r="G301"/>
    <cellWatch r="G302"/>
    <cellWatch r="G303"/>
    <cellWatch r="G304"/>
    <cellWatch r="G305"/>
    <cellWatch r="G306"/>
    <cellWatch r="G307"/>
    <cellWatch r="G308"/>
    <cellWatch r="G309"/>
    <cellWatch r="G310"/>
    <cellWatch r="G311"/>
    <cellWatch r="G312"/>
    <cellWatch r="G313"/>
    <cellWatch r="G314"/>
    <cellWatch r="G315"/>
    <cellWatch r="G316"/>
    <cellWatch r="G317"/>
    <cellWatch r="G318"/>
    <cellWatch r="G319"/>
    <cellWatch r="G320"/>
    <cellWatch r="G321"/>
    <cellWatch r="G322"/>
    <cellWatch r="G323"/>
    <cellWatch r="G324"/>
    <cellWatch r="G325"/>
    <cellWatch r="G326"/>
    <cellWatch r="G327"/>
    <cellWatch r="G328"/>
    <cellWatch r="G329"/>
    <cellWatch r="G330"/>
    <cellWatch r="G331"/>
    <cellWatch r="G332"/>
    <cellWatch r="G333"/>
    <cellWatch r="G334"/>
    <cellWatch r="G335"/>
    <cellWatch r="G336"/>
    <cellWatch r="G337"/>
    <cellWatch r="G338"/>
    <cellWatch r="G339"/>
    <cellWatch r="G340"/>
    <cellWatch r="G341"/>
    <cellWatch r="G342"/>
    <cellWatch r="G343"/>
    <cellWatch r="G344"/>
    <cellWatch r="G345"/>
    <cellWatch r="G346"/>
    <cellWatch r="G347"/>
    <cellWatch r="G348"/>
    <cellWatch r="G349"/>
    <cellWatch r="G350"/>
    <cellWatch r="G351"/>
    <cellWatch r="G352"/>
    <cellWatch r="G353"/>
    <cellWatch r="G354"/>
    <cellWatch r="G355"/>
    <cellWatch r="G356"/>
    <cellWatch r="G357"/>
    <cellWatch r="G358"/>
    <cellWatch r="G359"/>
    <cellWatch r="G360"/>
    <cellWatch r="G361"/>
    <cellWatch r="G362"/>
    <cellWatch r="G363"/>
    <cellWatch r="G364"/>
    <cellWatch r="G365"/>
    <cellWatch r="G366"/>
    <cellWatch r="G367"/>
    <cellWatch r="G368"/>
    <cellWatch r="G369"/>
    <cellWatch r="G370"/>
    <cellWatch r="G371"/>
    <cellWatch r="G372"/>
    <cellWatch r="G373"/>
    <cellWatch r="G374"/>
    <cellWatch r="G375"/>
    <cellWatch r="G376"/>
    <cellWatch r="G377"/>
    <cellWatch r="G378"/>
    <cellWatch r="G379"/>
    <cellWatch r="G380"/>
    <cellWatch r="G381"/>
    <cellWatch r="G382"/>
    <cellWatch r="G383"/>
    <cellWatch r="G384"/>
    <cellWatch r="G385"/>
    <cellWatch r="G386"/>
    <cellWatch r="G387"/>
    <cellWatch r="G388"/>
    <cellWatch r="G389"/>
    <cellWatch r="G390"/>
    <cellWatch r="G391"/>
    <cellWatch r="G392"/>
    <cellWatch r="G393"/>
    <cellWatch r="G394"/>
    <cellWatch r="G395"/>
    <cellWatch r="G396"/>
    <cellWatch r="G397"/>
    <cellWatch r="G398"/>
    <cellWatch r="G399"/>
    <cellWatch r="G400"/>
    <cellWatch r="G401"/>
    <cellWatch r="G402"/>
    <cellWatch r="G403"/>
    <cellWatch r="G404"/>
    <cellWatch r="G405"/>
    <cellWatch r="G406"/>
    <cellWatch r="G407"/>
    <cellWatch r="G408"/>
    <cellWatch r="G409"/>
    <cellWatch r="G410"/>
    <cellWatch r="G411"/>
    <cellWatch r="G412"/>
    <cellWatch r="G413"/>
    <cellWatch r="G414"/>
    <cellWatch r="G415"/>
    <cellWatch r="G416"/>
    <cellWatch r="G417"/>
    <cellWatch r="G418"/>
    <cellWatch r="G419"/>
    <cellWatch r="G420"/>
    <cellWatch r="G421"/>
    <cellWatch r="G422"/>
    <cellWatch r="G423"/>
    <cellWatch r="G424"/>
    <cellWatch r="G425"/>
    <cellWatch r="G426"/>
    <cellWatch r="G427"/>
    <cellWatch r="G428"/>
    <cellWatch r="G429"/>
    <cellWatch r="G430"/>
    <cellWatch r="G431"/>
    <cellWatch r="G432"/>
    <cellWatch r="G433"/>
    <cellWatch r="G434"/>
    <cellWatch r="G435"/>
    <cellWatch r="G436"/>
    <cellWatch r="G437"/>
    <cellWatch r="G438"/>
    <cellWatch r="G439"/>
    <cellWatch r="G440"/>
    <cellWatch r="G441"/>
    <cellWatch r="G442"/>
    <cellWatch r="G443"/>
    <cellWatch r="G444"/>
    <cellWatch r="G445"/>
    <cellWatch r="G446"/>
    <cellWatch r="G447"/>
    <cellWatch r="G448"/>
    <cellWatch r="G449"/>
    <cellWatch r="G450"/>
    <cellWatch r="G451"/>
    <cellWatch r="G452"/>
    <cellWatch r="G453"/>
    <cellWatch r="G454"/>
    <cellWatch r="G455"/>
    <cellWatch r="G456"/>
    <cellWatch r="G457"/>
    <cellWatch r="G458"/>
    <cellWatch r="G459"/>
    <cellWatch r="G460"/>
    <cellWatch r="G461"/>
    <cellWatch r="G462"/>
    <cellWatch r="G463"/>
    <cellWatch r="G464"/>
    <cellWatch r="G465"/>
    <cellWatch r="G466"/>
    <cellWatch r="G467"/>
    <cellWatch r="G468"/>
    <cellWatch r="G469"/>
    <cellWatch r="G470"/>
    <cellWatch r="G471"/>
    <cellWatch r="G472"/>
    <cellWatch r="G473"/>
    <cellWatch r="G474"/>
    <cellWatch r="G475"/>
    <cellWatch r="G476"/>
    <cellWatch r="G477"/>
    <cellWatch r="G478"/>
    <cellWatch r="G479"/>
    <cellWatch r="G480"/>
    <cellWatch r="G481"/>
    <cellWatch r="G482"/>
    <cellWatch r="G483"/>
    <cellWatch r="G484"/>
    <cellWatch r="G485"/>
    <cellWatch r="G486"/>
    <cellWatch r="G487"/>
    <cellWatch r="G488"/>
    <cellWatch r="G489"/>
    <cellWatch r="G490"/>
    <cellWatch r="G491"/>
    <cellWatch r="G492"/>
    <cellWatch r="G493"/>
    <cellWatch r="G494"/>
    <cellWatch r="G495"/>
    <cellWatch r="G496"/>
    <cellWatch r="G497"/>
    <cellWatch r="G498"/>
    <cellWatch r="G499"/>
    <cellWatch r="G500"/>
    <cellWatch r="G501"/>
    <cellWatch r="G502"/>
    <cellWatch r="G503"/>
    <cellWatch r="G504"/>
    <cellWatch r="G505"/>
    <cellWatch r="G506"/>
    <cellWatch r="G507"/>
    <cellWatch r="G508"/>
    <cellWatch r="G509"/>
    <cellWatch r="G510"/>
    <cellWatch r="G511"/>
    <cellWatch r="G512"/>
    <cellWatch r="G513"/>
    <cellWatch r="G514"/>
    <cellWatch r="G515"/>
    <cellWatch r="G516"/>
    <cellWatch r="G517"/>
    <cellWatch r="G518"/>
    <cellWatch r="G519"/>
    <cellWatch r="G520"/>
    <cellWatch r="G521"/>
    <cellWatch r="G522"/>
    <cellWatch r="G523"/>
    <cellWatch r="G524"/>
    <cellWatch r="G525"/>
    <cellWatch r="G526"/>
    <cellWatch r="G527"/>
    <cellWatch r="G528"/>
    <cellWatch r="G529"/>
    <cellWatch r="G530"/>
    <cellWatch r="G531"/>
    <cellWatch r="G532"/>
    <cellWatch r="G533"/>
    <cellWatch r="G534"/>
    <cellWatch r="G535"/>
    <cellWatch r="G536"/>
    <cellWatch r="G537"/>
    <cellWatch r="G538"/>
    <cellWatch r="G539"/>
    <cellWatch r="G540"/>
    <cellWatch r="G541"/>
    <cellWatch r="G542"/>
    <cellWatch r="G543"/>
    <cellWatch r="G544"/>
    <cellWatch r="G545"/>
    <cellWatch r="G546"/>
    <cellWatch r="G547"/>
    <cellWatch r="G548"/>
    <cellWatch r="G549"/>
    <cellWatch r="G550"/>
    <cellWatch r="G551"/>
    <cellWatch r="G552"/>
    <cellWatch r="G553"/>
    <cellWatch r="G554"/>
    <cellWatch r="G555"/>
    <cellWatch r="G556"/>
    <cellWatch r="G557"/>
    <cellWatch r="G558"/>
    <cellWatch r="G559"/>
    <cellWatch r="G560"/>
    <cellWatch r="G561"/>
    <cellWatch r="G562"/>
    <cellWatch r="G563"/>
    <cellWatch r="G564"/>
    <cellWatch r="G565"/>
    <cellWatch r="G566"/>
    <cellWatch r="G567"/>
    <cellWatch r="G568"/>
    <cellWatch r="G569"/>
    <cellWatch r="G570"/>
    <cellWatch r="G571"/>
    <cellWatch r="G572"/>
    <cellWatch r="G573"/>
    <cellWatch r="G574"/>
    <cellWatch r="G575"/>
    <cellWatch r="G576"/>
    <cellWatch r="G577"/>
    <cellWatch r="G578"/>
    <cellWatch r="G579"/>
    <cellWatch r="G580"/>
    <cellWatch r="G581"/>
    <cellWatch r="G582"/>
    <cellWatch r="G583"/>
    <cellWatch r="G584"/>
    <cellWatch r="G585"/>
    <cellWatch r="G586"/>
    <cellWatch r="G587"/>
    <cellWatch r="G588"/>
    <cellWatch r="G589"/>
    <cellWatch r="G590"/>
    <cellWatch r="G591"/>
    <cellWatch r="G592"/>
    <cellWatch r="G593"/>
    <cellWatch r="G594"/>
    <cellWatch r="G595"/>
    <cellWatch r="G596"/>
    <cellWatch r="G597"/>
    <cellWatch r="G598"/>
    <cellWatch r="G599"/>
    <cellWatch r="G600"/>
    <cellWatch r="G601"/>
    <cellWatch r="G602"/>
    <cellWatch r="G603"/>
    <cellWatch r="G604"/>
    <cellWatch r="G605"/>
    <cellWatch r="G606"/>
    <cellWatch r="G607"/>
    <cellWatch r="G608"/>
    <cellWatch r="G609"/>
    <cellWatch r="G610"/>
    <cellWatch r="G611"/>
    <cellWatch r="G612"/>
    <cellWatch r="G613"/>
    <cellWatch r="G614"/>
    <cellWatch r="G615"/>
    <cellWatch r="G616"/>
    <cellWatch r="G617"/>
    <cellWatch r="G618"/>
    <cellWatch r="G619"/>
    <cellWatch r="G620"/>
    <cellWatch r="G621"/>
    <cellWatch r="G622"/>
    <cellWatch r="G623"/>
    <cellWatch r="G624"/>
    <cellWatch r="G625"/>
    <cellWatch r="G626"/>
    <cellWatch r="G627"/>
    <cellWatch r="G628"/>
    <cellWatch r="G629"/>
    <cellWatch r="G630"/>
    <cellWatch r="G631"/>
    <cellWatch r="G632"/>
    <cellWatch r="G633"/>
    <cellWatch r="G634"/>
    <cellWatch r="G635"/>
    <cellWatch r="G636"/>
    <cellWatch r="G637"/>
    <cellWatch r="G638"/>
    <cellWatch r="G639"/>
    <cellWatch r="G640"/>
    <cellWatch r="G641"/>
    <cellWatch r="G642"/>
    <cellWatch r="G643"/>
    <cellWatch r="G644"/>
    <cellWatch r="G645"/>
    <cellWatch r="G646"/>
    <cellWatch r="G647"/>
    <cellWatch r="G648"/>
    <cellWatch r="G649"/>
    <cellWatch r="G650"/>
    <cellWatch r="G651"/>
    <cellWatch r="G652"/>
    <cellWatch r="G653"/>
    <cellWatch r="G654"/>
    <cellWatch r="G655"/>
    <cellWatch r="G656"/>
    <cellWatch r="G657"/>
    <cellWatch r="G658"/>
    <cellWatch r="G659"/>
    <cellWatch r="G660"/>
    <cellWatch r="G661"/>
    <cellWatch r="G662"/>
    <cellWatch r="G663"/>
    <cellWatch r="G664"/>
    <cellWatch r="G665"/>
    <cellWatch r="G666"/>
    <cellWatch r="G667"/>
    <cellWatch r="G668"/>
    <cellWatch r="G669"/>
    <cellWatch r="G670"/>
    <cellWatch r="G671"/>
    <cellWatch r="G672"/>
    <cellWatch r="G673"/>
    <cellWatch r="G674"/>
    <cellWatch r="G675"/>
    <cellWatch r="G676"/>
    <cellWatch r="G677"/>
    <cellWatch r="G678"/>
    <cellWatch r="G679"/>
    <cellWatch r="G680"/>
    <cellWatch r="G681"/>
    <cellWatch r="G682"/>
    <cellWatch r="G683"/>
    <cellWatch r="G684"/>
    <cellWatch r="G685"/>
    <cellWatch r="G686"/>
    <cellWatch r="G687"/>
    <cellWatch r="G688"/>
    <cellWatch r="G689"/>
    <cellWatch r="G690"/>
    <cellWatch r="G691"/>
    <cellWatch r="G692"/>
    <cellWatch r="G693"/>
    <cellWatch r="G694"/>
    <cellWatch r="G695"/>
    <cellWatch r="G696"/>
    <cellWatch r="G697"/>
    <cellWatch r="G698"/>
    <cellWatch r="G699"/>
    <cellWatch r="G700"/>
    <cellWatch r="G701"/>
    <cellWatch r="G702"/>
    <cellWatch r="G703"/>
    <cellWatch r="G704"/>
    <cellWatch r="G705"/>
    <cellWatch r="G706"/>
    <cellWatch r="G707"/>
    <cellWatch r="G708"/>
    <cellWatch r="G709"/>
    <cellWatch r="G710"/>
    <cellWatch r="G711"/>
    <cellWatch r="G712"/>
    <cellWatch r="G713"/>
    <cellWatch r="G714"/>
    <cellWatch r="G715"/>
    <cellWatch r="G716"/>
    <cellWatch r="G717"/>
    <cellWatch r="G718"/>
    <cellWatch r="G719"/>
    <cellWatch r="G720"/>
    <cellWatch r="G721"/>
    <cellWatch r="G722"/>
    <cellWatch r="G723"/>
    <cellWatch r="G724"/>
    <cellWatch r="G725"/>
    <cellWatch r="G726"/>
    <cellWatch r="G727"/>
    <cellWatch r="G728"/>
    <cellWatch r="G729"/>
    <cellWatch r="G730"/>
    <cellWatch r="G731"/>
    <cellWatch r="G732"/>
    <cellWatch r="G733"/>
    <cellWatch r="G734"/>
    <cellWatch r="G735"/>
    <cellWatch r="G736"/>
    <cellWatch r="G737"/>
    <cellWatch r="G738"/>
    <cellWatch r="G739"/>
    <cellWatch r="G740"/>
    <cellWatch r="G741"/>
    <cellWatch r="G742"/>
    <cellWatch r="G743"/>
    <cellWatch r="G744"/>
    <cellWatch r="G745"/>
    <cellWatch r="G746"/>
    <cellWatch r="G747"/>
    <cellWatch r="G748"/>
    <cellWatch r="G749"/>
    <cellWatch r="G750"/>
    <cellWatch r="G751"/>
    <cellWatch r="G752"/>
    <cellWatch r="G753"/>
    <cellWatch r="G754"/>
    <cellWatch r="G755"/>
    <cellWatch r="G756"/>
    <cellWatch r="G757"/>
    <cellWatch r="G758"/>
    <cellWatch r="G759"/>
    <cellWatch r="G760"/>
    <cellWatch r="G761"/>
    <cellWatch r="G762"/>
    <cellWatch r="G763"/>
    <cellWatch r="G764"/>
    <cellWatch r="G765"/>
    <cellWatch r="G766"/>
    <cellWatch r="G767"/>
    <cellWatch r="G768"/>
    <cellWatch r="G769"/>
    <cellWatch r="G770"/>
    <cellWatch r="G771"/>
    <cellWatch r="G772"/>
    <cellWatch r="G773"/>
    <cellWatch r="G774"/>
    <cellWatch r="G775"/>
    <cellWatch r="G776"/>
    <cellWatch r="G777"/>
    <cellWatch r="G778"/>
    <cellWatch r="G779"/>
    <cellWatch r="G780"/>
    <cellWatch r="G781"/>
    <cellWatch r="G782"/>
    <cellWatch r="G783"/>
    <cellWatch r="G784"/>
    <cellWatch r="G785"/>
    <cellWatch r="G786"/>
    <cellWatch r="G787"/>
    <cellWatch r="G788"/>
    <cellWatch r="G789"/>
    <cellWatch r="G790"/>
    <cellWatch r="G791"/>
    <cellWatch r="G792"/>
    <cellWatch r="G793"/>
    <cellWatch r="G794"/>
    <cellWatch r="G795"/>
    <cellWatch r="G796"/>
    <cellWatch r="G797"/>
    <cellWatch r="G798"/>
    <cellWatch r="G799"/>
    <cellWatch r="G800"/>
    <cellWatch r="G801"/>
    <cellWatch r="G802"/>
    <cellWatch r="G803"/>
    <cellWatch r="G804"/>
    <cellWatch r="G805"/>
    <cellWatch r="G806"/>
    <cellWatch r="G807"/>
    <cellWatch r="G808"/>
    <cellWatch r="G809"/>
    <cellWatch r="G810"/>
    <cellWatch r="G811"/>
    <cellWatch r="G812"/>
    <cellWatch r="G813"/>
    <cellWatch r="G814"/>
    <cellWatch r="G815"/>
    <cellWatch r="G816"/>
    <cellWatch r="G817"/>
    <cellWatch r="G818"/>
    <cellWatch r="G819"/>
    <cellWatch r="G820"/>
    <cellWatch r="G821"/>
    <cellWatch r="G822"/>
    <cellWatch r="G823"/>
    <cellWatch r="G824"/>
    <cellWatch r="G825"/>
    <cellWatch r="G826"/>
    <cellWatch r="G827"/>
    <cellWatch r="G828"/>
    <cellWatch r="G829"/>
    <cellWatch r="G830"/>
    <cellWatch r="G831"/>
    <cellWatch r="G832"/>
    <cellWatch r="G833"/>
    <cellWatch r="G834"/>
    <cellWatch r="G835"/>
    <cellWatch r="G836"/>
    <cellWatch r="G837"/>
    <cellWatch r="G838"/>
    <cellWatch r="G839"/>
    <cellWatch r="G840"/>
    <cellWatch r="G841"/>
    <cellWatch r="G842"/>
    <cellWatch r="G843"/>
    <cellWatch r="G844"/>
    <cellWatch r="G845"/>
    <cellWatch r="G846"/>
    <cellWatch r="G847"/>
    <cellWatch r="G848"/>
    <cellWatch r="G849"/>
    <cellWatch r="G850"/>
    <cellWatch r="G851"/>
    <cellWatch r="G852"/>
    <cellWatch r="G853"/>
    <cellWatch r="G854"/>
    <cellWatch r="G855"/>
    <cellWatch r="G856"/>
    <cellWatch r="G857"/>
    <cellWatch r="G858"/>
    <cellWatch r="G859"/>
    <cellWatch r="G860"/>
    <cellWatch r="G861"/>
    <cellWatch r="G862"/>
    <cellWatch r="G863"/>
    <cellWatch r="G864"/>
    <cellWatch r="G865"/>
    <cellWatch r="G866"/>
    <cellWatch r="G867"/>
    <cellWatch r="G868"/>
    <cellWatch r="G869"/>
    <cellWatch r="G870"/>
    <cellWatch r="G871"/>
    <cellWatch r="G872"/>
    <cellWatch r="G873"/>
    <cellWatch r="G874"/>
    <cellWatch r="G875"/>
    <cellWatch r="G876"/>
    <cellWatch r="G877"/>
    <cellWatch r="G878"/>
    <cellWatch r="G879"/>
    <cellWatch r="G880"/>
    <cellWatch r="G881"/>
    <cellWatch r="G882"/>
    <cellWatch r="G883"/>
    <cellWatch r="G884"/>
    <cellWatch r="G885"/>
    <cellWatch r="G886"/>
    <cellWatch r="G887"/>
    <cellWatch r="G888"/>
    <cellWatch r="G889"/>
    <cellWatch r="G890"/>
    <cellWatch r="G891"/>
    <cellWatch r="G892"/>
    <cellWatch r="G893"/>
    <cellWatch r="G894"/>
    <cellWatch r="G895"/>
    <cellWatch r="G896"/>
    <cellWatch r="G897"/>
    <cellWatch r="G898"/>
    <cellWatch r="G899"/>
    <cellWatch r="G900"/>
    <cellWatch r="G901"/>
    <cellWatch r="G902"/>
    <cellWatch r="G903"/>
    <cellWatch r="G904"/>
    <cellWatch r="G905"/>
    <cellWatch r="G906"/>
    <cellWatch r="G907"/>
    <cellWatch r="G908"/>
    <cellWatch r="G909"/>
    <cellWatch r="G910"/>
    <cellWatch r="G911"/>
    <cellWatch r="G912"/>
    <cellWatch r="G913"/>
    <cellWatch r="G914"/>
    <cellWatch r="G915"/>
    <cellWatch r="G916"/>
    <cellWatch r="G917"/>
    <cellWatch r="G918"/>
    <cellWatch r="G919"/>
    <cellWatch r="G920"/>
    <cellWatch r="G921"/>
    <cellWatch r="G922"/>
    <cellWatch r="G923"/>
    <cellWatch r="G924"/>
    <cellWatch r="G925"/>
    <cellWatch r="G926"/>
    <cellWatch r="G927"/>
    <cellWatch r="G928"/>
    <cellWatch r="G929"/>
    <cellWatch r="G930"/>
    <cellWatch r="G931"/>
    <cellWatch r="G932"/>
    <cellWatch r="G933"/>
    <cellWatch r="G934"/>
    <cellWatch r="G935"/>
    <cellWatch r="G936"/>
    <cellWatch r="G937"/>
    <cellWatch r="G938"/>
    <cellWatch r="G939"/>
    <cellWatch r="G940"/>
    <cellWatch r="G941"/>
    <cellWatch r="G942"/>
    <cellWatch r="G943"/>
    <cellWatch r="G944"/>
    <cellWatch r="G945"/>
    <cellWatch r="G946"/>
    <cellWatch r="G947"/>
    <cellWatch r="G948"/>
    <cellWatch r="G949"/>
    <cellWatch r="G950"/>
    <cellWatch r="G951"/>
    <cellWatch r="G952"/>
    <cellWatch r="G953"/>
    <cellWatch r="G954"/>
    <cellWatch r="G955"/>
    <cellWatch r="G956"/>
    <cellWatch r="G957"/>
    <cellWatch r="G958"/>
    <cellWatch r="G959"/>
    <cellWatch r="G960"/>
    <cellWatch r="G961"/>
    <cellWatch r="G962"/>
    <cellWatch r="G963"/>
    <cellWatch r="G964"/>
    <cellWatch r="G965"/>
    <cellWatch r="G966"/>
    <cellWatch r="G967"/>
    <cellWatch r="G968"/>
    <cellWatch r="G969"/>
    <cellWatch r="G970"/>
    <cellWatch r="G971"/>
    <cellWatch r="G972"/>
    <cellWatch r="G973"/>
    <cellWatch r="G974"/>
    <cellWatch r="G975"/>
    <cellWatch r="G976"/>
    <cellWatch r="G977"/>
    <cellWatch r="G978"/>
    <cellWatch r="G979"/>
    <cellWatch r="G980"/>
    <cellWatch r="G981"/>
    <cellWatch r="G982"/>
    <cellWatch r="G983"/>
    <cellWatch r="G984"/>
    <cellWatch r="G985"/>
    <cellWatch r="G986"/>
    <cellWatch r="G987"/>
    <cellWatch r="G988"/>
    <cellWatch r="G989"/>
    <cellWatch r="G990"/>
    <cellWatch r="G991"/>
    <cellWatch r="G992"/>
    <cellWatch r="G993"/>
    <cellWatch r="G994"/>
    <cellWatch r="G995"/>
    <cellWatch r="G996"/>
    <cellWatch r="G997"/>
    <cellWatch r="G998"/>
    <cellWatch r="G999"/>
    <cellWatch r="G1000"/>
    <cellWatch r="G1001"/>
    <cellWatch r="G1002"/>
    <cellWatch r="G1003"/>
    <cellWatch r="G1004"/>
    <cellWatch r="G1005"/>
    <cellWatch r="G1006"/>
    <cellWatch r="G1007"/>
    <cellWatch r="G1008"/>
    <cellWatch r="G1009"/>
    <cellWatch r="G1010"/>
    <cellWatch r="G1011"/>
    <cellWatch r="G1012"/>
    <cellWatch r="G1013"/>
    <cellWatch r="G1014"/>
    <cellWatch r="G1015"/>
    <cellWatch r="G1016"/>
    <cellWatch r="G1017"/>
    <cellWatch r="G1018"/>
    <cellWatch r="G1019"/>
    <cellWatch r="G1020"/>
    <cellWatch r="G1021"/>
    <cellWatch r="G1022"/>
    <cellWatch r="G1023"/>
    <cellWatch r="G1024"/>
    <cellWatch r="G1025"/>
    <cellWatch r="G1026"/>
    <cellWatch r="G1027"/>
    <cellWatch r="G1028"/>
    <cellWatch r="G1029"/>
    <cellWatch r="G1030"/>
    <cellWatch r="G1031"/>
    <cellWatch r="G1032"/>
    <cellWatch r="G1033"/>
    <cellWatch r="G1034"/>
    <cellWatch r="G1035"/>
    <cellWatch r="G1036"/>
    <cellWatch r="G1037"/>
    <cellWatch r="G1038"/>
    <cellWatch r="G1039"/>
    <cellWatch r="G1040"/>
    <cellWatch r="G1041"/>
    <cellWatch r="G1042"/>
    <cellWatch r="G1043"/>
    <cellWatch r="G1044"/>
    <cellWatch r="G1045"/>
    <cellWatch r="G1046"/>
    <cellWatch r="G1047"/>
    <cellWatch r="G1048"/>
    <cellWatch r="G1049"/>
    <cellWatch r="G1050"/>
    <cellWatch r="G1051"/>
    <cellWatch r="G1052"/>
    <cellWatch r="G1053"/>
    <cellWatch r="G1054"/>
    <cellWatch r="G1055"/>
    <cellWatch r="G1056"/>
    <cellWatch r="G1057"/>
    <cellWatch r="G1058"/>
    <cellWatch r="G1059"/>
    <cellWatch r="G1060"/>
    <cellWatch r="G1061"/>
    <cellWatch r="G1062"/>
    <cellWatch r="G1063"/>
    <cellWatch r="G1064"/>
    <cellWatch r="G1065"/>
    <cellWatch r="G1066"/>
    <cellWatch r="G1067"/>
    <cellWatch r="G1068"/>
    <cellWatch r="G1069"/>
    <cellWatch r="G1070"/>
    <cellWatch r="G1071"/>
    <cellWatch r="G1072"/>
    <cellWatch r="G1073"/>
    <cellWatch r="G1074"/>
    <cellWatch r="G1075"/>
    <cellWatch r="G1076"/>
    <cellWatch r="G1077"/>
    <cellWatch r="G1078"/>
    <cellWatch r="G1079"/>
    <cellWatch r="G1080"/>
    <cellWatch r="G1081"/>
    <cellWatch r="G1082"/>
    <cellWatch r="G1083"/>
    <cellWatch r="G1084"/>
    <cellWatch r="G1085"/>
    <cellWatch r="G1086"/>
    <cellWatch r="G1087"/>
    <cellWatch r="G1088"/>
    <cellWatch r="G1089"/>
    <cellWatch r="G1090"/>
    <cellWatch r="G1091"/>
    <cellWatch r="G1092"/>
    <cellWatch r="G1093"/>
    <cellWatch r="G1094"/>
    <cellWatch r="G1095"/>
    <cellWatch r="G1096"/>
    <cellWatch r="G1097"/>
    <cellWatch r="G1098"/>
    <cellWatch r="G1099"/>
    <cellWatch r="G1100"/>
    <cellWatch r="G1101"/>
    <cellWatch r="G1102"/>
    <cellWatch r="G1103"/>
    <cellWatch r="G1104"/>
    <cellWatch r="G1105"/>
    <cellWatch r="G1106"/>
    <cellWatch r="G1107"/>
    <cellWatch r="G1108"/>
    <cellWatch r="G1109"/>
    <cellWatch r="G1110"/>
    <cellWatch r="G1111"/>
    <cellWatch r="G1112"/>
    <cellWatch r="G1113"/>
    <cellWatch r="G1114"/>
    <cellWatch r="G1115"/>
    <cellWatch r="G1116"/>
    <cellWatch r="G1117"/>
    <cellWatch r="G1118"/>
    <cellWatch r="G1119"/>
    <cellWatch r="G1120"/>
    <cellWatch r="G1121"/>
    <cellWatch r="G1122"/>
    <cellWatch r="G1123"/>
    <cellWatch r="G1124"/>
    <cellWatch r="G1125"/>
    <cellWatch r="G1126"/>
    <cellWatch r="G1127"/>
    <cellWatch r="G1128"/>
    <cellWatch r="G1129"/>
    <cellWatch r="G1130"/>
    <cellWatch r="G1131"/>
    <cellWatch r="G1132"/>
    <cellWatch r="G1133"/>
    <cellWatch r="G1134"/>
    <cellWatch r="G1135"/>
    <cellWatch r="G1136"/>
    <cellWatch r="G1137"/>
    <cellWatch r="G1138"/>
    <cellWatch r="G1139"/>
    <cellWatch r="G1140"/>
    <cellWatch r="G1141"/>
    <cellWatch r="G1142"/>
    <cellWatch r="G1143"/>
    <cellWatch r="G1144"/>
    <cellWatch r="G1145"/>
    <cellWatch r="G1146"/>
    <cellWatch r="G1147"/>
    <cellWatch r="G1148"/>
    <cellWatch r="G1149"/>
    <cellWatch r="G1150"/>
    <cellWatch r="G1151"/>
    <cellWatch r="G1152"/>
    <cellWatch r="G1153"/>
    <cellWatch r="G1154"/>
    <cellWatch r="G1155"/>
    <cellWatch r="G1156"/>
    <cellWatch r="G1157"/>
    <cellWatch r="G1158"/>
    <cellWatch r="G1159"/>
    <cellWatch r="G1160"/>
    <cellWatch r="G1161"/>
    <cellWatch r="G1162"/>
    <cellWatch r="G1163"/>
    <cellWatch r="G1164"/>
    <cellWatch r="G1165"/>
    <cellWatch r="G1166"/>
    <cellWatch r="G1167"/>
    <cellWatch r="G1168"/>
    <cellWatch r="G1169"/>
    <cellWatch r="G1170"/>
    <cellWatch r="G1171"/>
    <cellWatch r="G1172"/>
    <cellWatch r="G1173"/>
    <cellWatch r="G1174"/>
    <cellWatch r="G1175"/>
    <cellWatch r="G1176"/>
    <cellWatch r="G1177"/>
    <cellWatch r="G1178"/>
    <cellWatch r="G1179"/>
    <cellWatch r="G1180"/>
    <cellWatch r="G1181"/>
    <cellWatch r="G1182"/>
    <cellWatch r="G1183"/>
    <cellWatch r="G1184"/>
    <cellWatch r="G1185"/>
    <cellWatch r="G1186"/>
    <cellWatch r="G1187"/>
    <cellWatch r="G1188"/>
    <cellWatch r="G1189"/>
    <cellWatch r="G1190"/>
    <cellWatch r="G1191"/>
    <cellWatch r="G1192"/>
    <cellWatch r="G1193"/>
    <cellWatch r="G1194"/>
    <cellWatch r="G1195"/>
    <cellWatch r="G1196"/>
    <cellWatch r="G1197"/>
    <cellWatch r="G1198"/>
    <cellWatch r="G1199"/>
    <cellWatch r="G1200"/>
    <cellWatch r="G1201"/>
    <cellWatch r="G1202"/>
    <cellWatch r="G1203"/>
    <cellWatch r="G1204"/>
    <cellWatch r="G1205"/>
    <cellWatch r="G1206"/>
    <cellWatch r="G1207"/>
    <cellWatch r="G1208"/>
    <cellWatch r="G1209"/>
    <cellWatch r="G1210"/>
    <cellWatch r="G1211"/>
    <cellWatch r="G1212"/>
    <cellWatch r="G1213"/>
    <cellWatch r="G1214"/>
    <cellWatch r="G1215"/>
    <cellWatch r="G1216"/>
    <cellWatch r="G1217"/>
    <cellWatch r="G1218"/>
    <cellWatch r="G1219"/>
    <cellWatch r="G1220"/>
    <cellWatch r="G1221"/>
    <cellWatch r="G1222"/>
    <cellWatch r="G1223"/>
    <cellWatch r="G1224"/>
    <cellWatch r="G1225"/>
    <cellWatch r="G1226"/>
    <cellWatch r="G1227"/>
    <cellWatch r="G1228"/>
    <cellWatch r="G1229"/>
    <cellWatch r="G1230"/>
    <cellWatch r="G1231"/>
    <cellWatch r="G1232"/>
    <cellWatch r="G1233"/>
    <cellWatch r="G1234"/>
    <cellWatch r="G1235"/>
    <cellWatch r="G1236"/>
    <cellWatch r="G1237"/>
    <cellWatch r="G1238"/>
    <cellWatch r="G1239"/>
    <cellWatch r="G1240"/>
    <cellWatch r="G1241"/>
    <cellWatch r="G1242"/>
    <cellWatch r="G1243"/>
    <cellWatch r="G1244"/>
    <cellWatch r="G1245"/>
    <cellWatch r="G1246"/>
    <cellWatch r="G1247"/>
    <cellWatch r="G1248"/>
    <cellWatch r="G1249"/>
    <cellWatch r="G1250"/>
    <cellWatch r="G1251"/>
    <cellWatch r="G1252"/>
    <cellWatch r="G1253"/>
    <cellWatch r="G1254"/>
    <cellWatch r="G1255"/>
    <cellWatch r="G1256"/>
    <cellWatch r="G1257"/>
    <cellWatch r="G1258"/>
    <cellWatch r="G1259"/>
    <cellWatch r="G1260"/>
    <cellWatch r="G1261"/>
    <cellWatch r="G1262"/>
    <cellWatch r="G1263"/>
    <cellWatch r="G1264"/>
    <cellWatch r="G1265"/>
    <cellWatch r="G1266"/>
    <cellWatch r="G1267"/>
    <cellWatch r="G1268"/>
    <cellWatch r="G1269"/>
    <cellWatch r="G1270"/>
    <cellWatch r="G1271"/>
    <cellWatch r="G1272"/>
    <cellWatch r="G1273"/>
    <cellWatch r="G1274"/>
    <cellWatch r="G1275"/>
    <cellWatch r="G1276"/>
    <cellWatch r="G1277"/>
    <cellWatch r="G1278"/>
    <cellWatch r="G1279"/>
    <cellWatch r="G1280"/>
    <cellWatch r="G1281"/>
    <cellWatch r="G1282"/>
    <cellWatch r="G1283"/>
    <cellWatch r="G1284"/>
    <cellWatch r="G1285"/>
    <cellWatch r="G1286"/>
    <cellWatch r="G1287"/>
    <cellWatch r="G1288"/>
    <cellWatch r="G1289"/>
    <cellWatch r="G1290"/>
    <cellWatch r="G1291"/>
    <cellWatch r="G1292"/>
    <cellWatch r="G1293"/>
    <cellWatch r="G1294"/>
    <cellWatch r="G1295"/>
    <cellWatch r="G1296"/>
    <cellWatch r="G1297"/>
    <cellWatch r="G1298"/>
    <cellWatch r="G1299"/>
    <cellWatch r="G1300"/>
    <cellWatch r="G1301"/>
    <cellWatch r="G1302"/>
    <cellWatch r="G1303"/>
    <cellWatch r="G1304"/>
    <cellWatch r="G1305"/>
    <cellWatch r="G1306"/>
    <cellWatch r="G1307"/>
    <cellWatch r="G1308"/>
    <cellWatch r="G1309"/>
    <cellWatch r="G1310"/>
    <cellWatch r="G1311"/>
    <cellWatch r="G1312"/>
    <cellWatch r="G1313"/>
    <cellWatch r="G1314"/>
    <cellWatch r="G1315"/>
    <cellWatch r="G1316"/>
    <cellWatch r="G1317"/>
    <cellWatch r="G1318"/>
    <cellWatch r="G1319"/>
    <cellWatch r="G1320"/>
    <cellWatch r="G1321"/>
    <cellWatch r="G1322"/>
    <cellWatch r="G1323"/>
    <cellWatch r="G1324"/>
    <cellWatch r="G1325"/>
    <cellWatch r="G1326"/>
    <cellWatch r="G1327"/>
    <cellWatch r="G1328"/>
    <cellWatch r="G1329"/>
    <cellWatch r="G1330"/>
    <cellWatch r="G1331"/>
    <cellWatch r="G1332"/>
    <cellWatch r="G1333"/>
    <cellWatch r="G1334"/>
    <cellWatch r="G1335"/>
    <cellWatch r="G1336"/>
    <cellWatch r="G1337"/>
    <cellWatch r="G1338"/>
    <cellWatch r="G1339"/>
    <cellWatch r="G1340"/>
    <cellWatch r="G1341"/>
    <cellWatch r="G1342"/>
    <cellWatch r="G1343"/>
    <cellWatch r="G1344"/>
    <cellWatch r="G1345"/>
    <cellWatch r="G1346"/>
    <cellWatch r="G1347"/>
    <cellWatch r="G1348"/>
    <cellWatch r="G1349"/>
    <cellWatch r="G1350"/>
    <cellWatch r="G1351"/>
    <cellWatch r="G1352"/>
    <cellWatch r="G1353"/>
    <cellWatch r="G1354"/>
    <cellWatch r="G1355"/>
    <cellWatch r="G1356"/>
    <cellWatch r="G1357"/>
    <cellWatch r="G1358"/>
    <cellWatch r="G1359"/>
    <cellWatch r="G1360"/>
    <cellWatch r="G1361"/>
    <cellWatch r="G1362"/>
    <cellWatch r="G1363"/>
    <cellWatch r="G1364"/>
    <cellWatch r="G1365"/>
    <cellWatch r="G1366"/>
    <cellWatch r="G1367"/>
    <cellWatch r="G1368"/>
    <cellWatch r="G1369"/>
    <cellWatch r="G1370"/>
    <cellWatch r="G1371"/>
    <cellWatch r="G1372"/>
    <cellWatch r="G1373"/>
    <cellWatch r="G1374"/>
    <cellWatch r="G1375"/>
    <cellWatch r="G1376"/>
    <cellWatch r="G1377"/>
    <cellWatch r="G1378"/>
    <cellWatch r="G1379"/>
    <cellWatch r="G1380"/>
    <cellWatch r="G1381"/>
    <cellWatch r="G1382"/>
    <cellWatch r="G1383"/>
    <cellWatch r="G1384"/>
    <cellWatch r="G1385"/>
    <cellWatch r="G1386"/>
    <cellWatch r="G1387"/>
    <cellWatch r="G1388"/>
    <cellWatch r="G1389"/>
    <cellWatch r="G1390"/>
    <cellWatch r="G1391"/>
    <cellWatch r="G1392"/>
    <cellWatch r="G1393"/>
    <cellWatch r="G1394"/>
    <cellWatch r="G1395"/>
    <cellWatch r="G1396"/>
    <cellWatch r="G1397"/>
    <cellWatch r="G1398"/>
    <cellWatch r="G1399"/>
    <cellWatch r="G1400"/>
    <cellWatch r="G1401"/>
    <cellWatch r="G1402"/>
    <cellWatch r="G1403"/>
    <cellWatch r="G1404"/>
    <cellWatch r="G1405"/>
    <cellWatch r="G1406"/>
    <cellWatch r="G1407"/>
    <cellWatch r="G1408"/>
    <cellWatch r="G1409"/>
    <cellWatch r="G1410"/>
    <cellWatch r="G1411"/>
    <cellWatch r="G1412"/>
    <cellWatch r="G1413"/>
    <cellWatch r="G1414"/>
    <cellWatch r="G1415"/>
    <cellWatch r="G1416"/>
    <cellWatch r="G1417"/>
    <cellWatch r="G1418"/>
    <cellWatch r="G1419"/>
    <cellWatch r="G1420"/>
    <cellWatch r="G1421"/>
    <cellWatch r="G1422"/>
    <cellWatch r="G1423"/>
    <cellWatch r="G1424"/>
    <cellWatch r="G1425"/>
    <cellWatch r="G1426"/>
    <cellWatch r="G1427"/>
    <cellWatch r="G1428"/>
    <cellWatch r="G1429"/>
    <cellWatch r="G1430"/>
    <cellWatch r="G1431"/>
    <cellWatch r="G1432"/>
    <cellWatch r="G1433"/>
    <cellWatch r="G1434"/>
    <cellWatch r="G1435"/>
    <cellWatch r="G1436"/>
    <cellWatch r="G1437"/>
    <cellWatch r="G1438"/>
    <cellWatch r="G1439"/>
    <cellWatch r="G1440"/>
    <cellWatch r="G1441"/>
    <cellWatch r="G1442"/>
    <cellWatch r="G1443"/>
    <cellWatch r="G1444"/>
    <cellWatch r="G1445"/>
    <cellWatch r="G1446"/>
    <cellWatch r="G1447"/>
    <cellWatch r="G1448"/>
    <cellWatch r="G1449"/>
    <cellWatch r="G1450"/>
    <cellWatch r="G1451"/>
    <cellWatch r="G1452"/>
    <cellWatch r="G1453"/>
    <cellWatch r="G1454"/>
    <cellWatch r="G1455"/>
    <cellWatch r="G1456"/>
    <cellWatch r="G1457"/>
    <cellWatch r="G1458"/>
    <cellWatch r="G1459"/>
    <cellWatch r="G1460"/>
    <cellWatch r="G1461"/>
    <cellWatch r="G1462"/>
    <cellWatch r="G1463"/>
    <cellWatch r="G1464"/>
    <cellWatch r="G1465"/>
    <cellWatch r="G1466"/>
    <cellWatch r="G1467"/>
    <cellWatch r="G1468"/>
    <cellWatch r="G1469"/>
    <cellWatch r="G1470"/>
    <cellWatch r="G1471"/>
    <cellWatch r="G1472"/>
    <cellWatch r="G1473"/>
    <cellWatch r="G1474"/>
    <cellWatch r="G1475"/>
    <cellWatch r="G1476"/>
    <cellWatch r="G1477"/>
    <cellWatch r="G1478"/>
    <cellWatch r="G1479"/>
    <cellWatch r="G1480"/>
    <cellWatch r="G1481"/>
    <cellWatch r="G1482"/>
    <cellWatch r="G1483"/>
    <cellWatch r="G1484"/>
    <cellWatch r="G1485"/>
    <cellWatch r="G1486"/>
    <cellWatch r="G1487"/>
    <cellWatch r="G1488"/>
    <cellWatch r="G1489"/>
    <cellWatch r="G1490"/>
    <cellWatch r="G1491"/>
    <cellWatch r="G1492"/>
    <cellWatch r="G1493"/>
    <cellWatch r="G1494"/>
    <cellWatch r="G1495"/>
    <cellWatch r="G1496"/>
    <cellWatch r="G1497"/>
    <cellWatch r="G1498"/>
    <cellWatch r="G1499"/>
    <cellWatch r="G1500"/>
    <cellWatch r="G1501"/>
    <cellWatch r="G1502"/>
    <cellWatch r="G1503"/>
    <cellWatch r="G1504"/>
    <cellWatch r="G1505"/>
    <cellWatch r="G1506"/>
    <cellWatch r="G1507"/>
    <cellWatch r="G1508"/>
    <cellWatch r="G1509"/>
    <cellWatch r="G1510"/>
    <cellWatch r="G1511"/>
    <cellWatch r="G1512"/>
    <cellWatch r="G1513"/>
    <cellWatch r="G1514"/>
    <cellWatch r="G1515"/>
    <cellWatch r="G1516"/>
    <cellWatch r="G1517"/>
    <cellWatch r="G1518"/>
    <cellWatch r="G1519"/>
    <cellWatch r="G1520"/>
    <cellWatch r="G1521"/>
    <cellWatch r="G1522"/>
    <cellWatch r="G1523"/>
    <cellWatch r="G1524"/>
    <cellWatch r="G1525"/>
    <cellWatch r="G1526"/>
    <cellWatch r="G1527"/>
    <cellWatch r="G1528"/>
    <cellWatch r="G1529"/>
    <cellWatch r="G1530"/>
    <cellWatch r="G1531"/>
    <cellWatch r="G1532"/>
    <cellWatch r="G1533"/>
    <cellWatch r="G1534"/>
    <cellWatch r="G1535"/>
    <cellWatch r="G1536"/>
    <cellWatch r="G1537"/>
    <cellWatch r="G1538"/>
    <cellWatch r="G1539"/>
    <cellWatch r="G1540"/>
    <cellWatch r="G1541"/>
    <cellWatch r="G1542"/>
    <cellWatch r="G1543"/>
    <cellWatch r="G1544"/>
    <cellWatch r="G1545"/>
    <cellWatch r="G1546"/>
    <cellWatch r="G1547"/>
    <cellWatch r="G1548"/>
    <cellWatch r="G1549"/>
    <cellWatch r="G1550"/>
    <cellWatch r="G1551"/>
    <cellWatch r="G1552"/>
    <cellWatch r="G1553"/>
    <cellWatch r="G1554"/>
    <cellWatch r="G1555"/>
    <cellWatch r="G1556"/>
    <cellWatch r="G1557"/>
    <cellWatch r="G1558"/>
    <cellWatch r="G1559"/>
    <cellWatch r="G1560"/>
    <cellWatch r="G1561"/>
    <cellWatch r="G1562"/>
    <cellWatch r="G1563"/>
    <cellWatch r="G1564"/>
    <cellWatch r="G1565"/>
    <cellWatch r="G1566"/>
    <cellWatch r="G1567"/>
    <cellWatch r="G1568"/>
    <cellWatch r="G1569"/>
    <cellWatch r="G1570"/>
    <cellWatch r="G1571"/>
    <cellWatch r="G1572"/>
    <cellWatch r="G1573"/>
    <cellWatch r="G1574"/>
    <cellWatch r="G1575"/>
    <cellWatch r="G1576"/>
    <cellWatch r="G1577"/>
    <cellWatch r="G1578"/>
    <cellWatch r="G1579"/>
    <cellWatch r="G1580"/>
    <cellWatch r="G1581"/>
    <cellWatch r="G1582"/>
    <cellWatch r="G1583"/>
    <cellWatch r="G1584"/>
    <cellWatch r="G1585"/>
    <cellWatch r="G1586"/>
    <cellWatch r="G1587"/>
    <cellWatch r="G1588"/>
    <cellWatch r="G1589"/>
    <cellWatch r="G1590"/>
    <cellWatch r="G1591"/>
    <cellWatch r="G1592"/>
    <cellWatch r="G1593"/>
    <cellWatch r="G1594"/>
    <cellWatch r="G1595"/>
    <cellWatch r="G1596"/>
    <cellWatch r="G1597"/>
    <cellWatch r="G1598"/>
    <cellWatch r="G1599"/>
    <cellWatch r="G1600"/>
    <cellWatch r="G1601"/>
    <cellWatch r="G1602"/>
    <cellWatch r="G1603"/>
    <cellWatch r="G1604"/>
    <cellWatch r="G1605"/>
    <cellWatch r="G1606"/>
    <cellWatch r="G1607"/>
    <cellWatch r="G1608"/>
    <cellWatch r="G1609"/>
    <cellWatch r="G1610"/>
    <cellWatch r="G1611"/>
    <cellWatch r="G1612"/>
    <cellWatch r="G1613"/>
    <cellWatch r="G1614"/>
    <cellWatch r="G1615"/>
    <cellWatch r="G1616"/>
    <cellWatch r="G1617"/>
    <cellWatch r="G1618"/>
    <cellWatch r="G1619"/>
    <cellWatch r="G1620"/>
    <cellWatch r="G1621"/>
    <cellWatch r="G1622"/>
    <cellWatch r="G1623"/>
    <cellWatch r="G1624"/>
    <cellWatch r="G1625"/>
    <cellWatch r="G1626"/>
    <cellWatch r="G1627"/>
    <cellWatch r="G1628"/>
    <cellWatch r="G1629"/>
    <cellWatch r="G1630"/>
    <cellWatch r="G1631"/>
    <cellWatch r="G1632"/>
    <cellWatch r="G1633"/>
    <cellWatch r="G1634"/>
    <cellWatch r="G1635"/>
    <cellWatch r="G1636"/>
    <cellWatch r="G1637"/>
    <cellWatch r="G1638"/>
    <cellWatch r="G1639"/>
    <cellWatch r="G1640"/>
    <cellWatch r="G1641"/>
    <cellWatch r="G1642"/>
    <cellWatch r="G1643"/>
    <cellWatch r="G1644"/>
    <cellWatch r="G1645"/>
    <cellWatch r="G1646"/>
    <cellWatch r="G1647"/>
    <cellWatch r="G1648"/>
    <cellWatch r="G1649"/>
    <cellWatch r="G1650"/>
    <cellWatch r="G1651"/>
    <cellWatch r="G1652"/>
    <cellWatch r="G1653"/>
    <cellWatch r="G1654"/>
    <cellWatch r="G1655"/>
    <cellWatch r="G1656"/>
    <cellWatch r="G1657"/>
    <cellWatch r="G1658"/>
    <cellWatch r="G1659"/>
    <cellWatch r="G1660"/>
    <cellWatch r="G1661"/>
    <cellWatch r="G1662"/>
    <cellWatch r="G1663"/>
    <cellWatch r="G1664"/>
    <cellWatch r="G1665"/>
    <cellWatch r="G1666"/>
    <cellWatch r="G1667"/>
    <cellWatch r="G1668"/>
    <cellWatch r="G1669"/>
    <cellWatch r="G1670"/>
    <cellWatch r="G1671"/>
    <cellWatch r="G1672"/>
    <cellWatch r="G1673"/>
    <cellWatch r="G1674"/>
    <cellWatch r="G1675"/>
    <cellWatch r="G1676"/>
    <cellWatch r="G1677"/>
    <cellWatch r="G1678"/>
    <cellWatch r="G1679"/>
    <cellWatch r="G1680"/>
    <cellWatch r="G1681"/>
    <cellWatch r="G1682"/>
    <cellWatch r="G1683"/>
    <cellWatch r="G1684"/>
    <cellWatch r="G1685"/>
    <cellWatch r="G1686"/>
    <cellWatch r="G1687"/>
    <cellWatch r="G1688"/>
    <cellWatch r="G1689"/>
    <cellWatch r="G1690"/>
    <cellWatch r="G1691"/>
    <cellWatch r="G1692"/>
    <cellWatch r="G1693"/>
    <cellWatch r="G1694"/>
    <cellWatch r="G1695"/>
    <cellWatch r="G1696"/>
    <cellWatch r="G1697"/>
    <cellWatch r="G1698"/>
    <cellWatch r="G1699"/>
    <cellWatch r="G1700"/>
    <cellWatch r="G1701"/>
    <cellWatch r="G1702"/>
    <cellWatch r="G1703"/>
    <cellWatch r="G1704"/>
    <cellWatch r="G1705"/>
    <cellWatch r="G1706"/>
    <cellWatch r="G1707"/>
    <cellWatch r="G1708"/>
    <cellWatch r="G1709"/>
    <cellWatch r="G1710"/>
    <cellWatch r="G1711"/>
    <cellWatch r="G1712"/>
    <cellWatch r="G1713"/>
    <cellWatch r="G1714"/>
    <cellWatch r="G1715"/>
    <cellWatch r="G1716"/>
    <cellWatch r="G1717"/>
    <cellWatch r="G1718"/>
    <cellWatch r="G1719"/>
    <cellWatch r="G1720"/>
    <cellWatch r="G1721"/>
    <cellWatch r="G1722"/>
    <cellWatch r="G1723"/>
    <cellWatch r="G1724"/>
    <cellWatch r="G1725"/>
    <cellWatch r="G1726"/>
    <cellWatch r="G1727"/>
    <cellWatch r="G1728"/>
    <cellWatch r="G1729"/>
    <cellWatch r="G1730"/>
    <cellWatch r="G1731"/>
    <cellWatch r="G1732"/>
    <cellWatch r="G1733"/>
    <cellWatch r="G1734"/>
    <cellWatch r="G1735"/>
    <cellWatch r="G1736"/>
    <cellWatch r="G1737"/>
    <cellWatch r="G1738"/>
    <cellWatch r="G1739"/>
    <cellWatch r="G1740"/>
    <cellWatch r="G1741"/>
    <cellWatch r="G1742"/>
    <cellWatch r="G1743"/>
    <cellWatch r="G1744"/>
    <cellWatch r="G1745"/>
    <cellWatch r="G1746"/>
    <cellWatch r="G1747"/>
    <cellWatch r="G1748"/>
    <cellWatch r="G1749"/>
    <cellWatch r="G1750"/>
    <cellWatch r="G1751"/>
    <cellWatch r="G1752"/>
    <cellWatch r="G1753"/>
    <cellWatch r="G1754"/>
    <cellWatch r="G1755"/>
    <cellWatch r="G1756"/>
    <cellWatch r="G1757"/>
    <cellWatch r="G1758"/>
    <cellWatch r="G1759"/>
    <cellWatch r="G1760"/>
    <cellWatch r="G1761"/>
    <cellWatch r="G1762"/>
    <cellWatch r="G1763"/>
    <cellWatch r="G1764"/>
    <cellWatch r="G1765"/>
    <cellWatch r="G1766"/>
    <cellWatch r="G1767"/>
    <cellWatch r="G1768"/>
    <cellWatch r="G1769"/>
    <cellWatch r="G1770"/>
    <cellWatch r="G1771"/>
    <cellWatch r="G1772"/>
    <cellWatch r="G1773"/>
    <cellWatch r="G1774"/>
    <cellWatch r="G1775"/>
    <cellWatch r="G1776"/>
    <cellWatch r="G1777"/>
    <cellWatch r="G1778"/>
    <cellWatch r="G1779"/>
    <cellWatch r="G1780"/>
    <cellWatch r="G1781"/>
    <cellWatch r="G1782"/>
    <cellWatch r="G1783"/>
    <cellWatch r="G1784"/>
    <cellWatch r="G1785"/>
    <cellWatch r="G1786"/>
    <cellWatch r="G1787"/>
    <cellWatch r="G1788"/>
    <cellWatch r="G1789"/>
    <cellWatch r="G1790"/>
    <cellWatch r="G1791"/>
    <cellWatch r="G1792"/>
    <cellWatch r="G1793"/>
    <cellWatch r="G1794"/>
    <cellWatch r="G1795"/>
    <cellWatch r="G1796"/>
    <cellWatch r="G1797"/>
    <cellWatch r="G1798"/>
    <cellWatch r="G1799"/>
    <cellWatch r="G1800"/>
    <cellWatch r="G1801"/>
    <cellWatch r="G1802"/>
    <cellWatch r="G1803"/>
    <cellWatch r="G1804"/>
    <cellWatch r="G1805"/>
    <cellWatch r="G1806"/>
    <cellWatch r="G1807"/>
    <cellWatch r="G1808"/>
    <cellWatch r="G1809"/>
    <cellWatch r="G1810"/>
    <cellWatch r="G1811"/>
    <cellWatch r="G1812"/>
    <cellWatch r="G1813"/>
    <cellWatch r="G1814"/>
    <cellWatch r="G1815"/>
    <cellWatch r="G1816"/>
    <cellWatch r="G1817"/>
    <cellWatch r="G1818"/>
    <cellWatch r="G1819"/>
    <cellWatch r="G1820"/>
    <cellWatch r="G1821"/>
    <cellWatch r="G1822"/>
    <cellWatch r="G1823"/>
    <cellWatch r="G1824"/>
    <cellWatch r="G1825"/>
    <cellWatch r="G1826"/>
    <cellWatch r="G1827"/>
    <cellWatch r="G1828"/>
    <cellWatch r="G1829"/>
    <cellWatch r="G1830"/>
    <cellWatch r="G1831"/>
    <cellWatch r="G1832"/>
    <cellWatch r="G1833"/>
    <cellWatch r="G1834"/>
    <cellWatch r="G1835"/>
    <cellWatch r="G1836"/>
    <cellWatch r="G1837"/>
    <cellWatch r="G1838"/>
    <cellWatch r="G1839"/>
    <cellWatch r="G1840"/>
    <cellWatch r="G1841"/>
    <cellWatch r="G1842"/>
    <cellWatch r="G1843"/>
    <cellWatch r="G1844"/>
    <cellWatch r="G1845"/>
    <cellWatch r="G1846"/>
    <cellWatch r="G1847"/>
    <cellWatch r="G1848"/>
    <cellWatch r="G1849"/>
    <cellWatch r="G1850"/>
    <cellWatch r="G1851"/>
    <cellWatch r="G1852"/>
    <cellWatch r="G1853"/>
    <cellWatch r="G1854"/>
    <cellWatch r="G1855"/>
    <cellWatch r="G1856"/>
    <cellWatch r="G1857"/>
    <cellWatch r="G1858"/>
    <cellWatch r="G1859"/>
    <cellWatch r="G1860"/>
    <cellWatch r="G1861"/>
    <cellWatch r="G1862"/>
    <cellWatch r="G1863"/>
    <cellWatch r="G1864"/>
    <cellWatch r="G1865"/>
    <cellWatch r="G1866"/>
    <cellWatch r="G1867"/>
    <cellWatch r="G1868"/>
    <cellWatch r="G1869"/>
    <cellWatch r="G1870"/>
    <cellWatch r="G1871"/>
    <cellWatch r="G1872"/>
    <cellWatch r="G1873"/>
    <cellWatch r="G1874"/>
    <cellWatch r="G1875"/>
    <cellWatch r="G1876"/>
    <cellWatch r="G1877"/>
    <cellWatch r="G1878"/>
    <cellWatch r="G1879"/>
    <cellWatch r="G1880"/>
    <cellWatch r="G1881"/>
    <cellWatch r="G1882"/>
    <cellWatch r="G1883"/>
    <cellWatch r="G1884"/>
    <cellWatch r="G1885"/>
    <cellWatch r="G1886"/>
    <cellWatch r="G1887"/>
    <cellWatch r="G1888"/>
    <cellWatch r="G1889"/>
    <cellWatch r="G1890"/>
    <cellWatch r="G1891"/>
    <cellWatch r="G1892"/>
    <cellWatch r="G1893"/>
    <cellWatch r="G1894"/>
    <cellWatch r="G1895"/>
    <cellWatch r="G1896"/>
    <cellWatch r="G1897"/>
    <cellWatch r="G1898"/>
    <cellWatch r="G1899"/>
    <cellWatch r="G1900"/>
    <cellWatch r="G1901"/>
    <cellWatch r="G1902"/>
    <cellWatch r="G1903"/>
    <cellWatch r="G1904"/>
    <cellWatch r="G1905"/>
    <cellWatch r="G1906"/>
    <cellWatch r="G1907"/>
    <cellWatch r="G1908"/>
    <cellWatch r="G1909"/>
    <cellWatch r="G1910"/>
    <cellWatch r="G1911"/>
    <cellWatch r="G1912"/>
    <cellWatch r="G1913"/>
    <cellWatch r="G1914"/>
    <cellWatch r="G1915"/>
    <cellWatch r="G1916"/>
    <cellWatch r="G1917"/>
    <cellWatch r="G1918"/>
    <cellWatch r="G1919"/>
    <cellWatch r="G1920"/>
    <cellWatch r="G1921"/>
    <cellWatch r="G1922"/>
    <cellWatch r="G1923"/>
    <cellWatch r="G1924"/>
    <cellWatch r="G1925"/>
    <cellWatch r="G1926"/>
    <cellWatch r="G1927"/>
    <cellWatch r="G1928"/>
    <cellWatch r="G1929"/>
    <cellWatch r="G1930"/>
    <cellWatch r="G1931"/>
    <cellWatch r="G1932"/>
    <cellWatch r="G1933"/>
    <cellWatch r="G1934"/>
    <cellWatch r="G1935"/>
    <cellWatch r="G1936"/>
    <cellWatch r="G1937"/>
    <cellWatch r="G1938"/>
    <cellWatch r="G1939"/>
    <cellWatch r="G1940"/>
    <cellWatch r="G1941"/>
    <cellWatch r="G1942"/>
    <cellWatch r="G1943"/>
    <cellWatch r="G1944"/>
    <cellWatch r="G1945"/>
    <cellWatch r="G1946"/>
    <cellWatch r="G1947"/>
    <cellWatch r="G1948"/>
    <cellWatch r="G1949"/>
    <cellWatch r="G1950"/>
    <cellWatch r="G1951"/>
    <cellWatch r="G1952"/>
    <cellWatch r="G1953"/>
    <cellWatch r="G1954"/>
    <cellWatch r="G1955"/>
    <cellWatch r="G1956"/>
    <cellWatch r="G1957"/>
    <cellWatch r="G1958"/>
    <cellWatch r="G1959"/>
    <cellWatch r="G1960"/>
    <cellWatch r="G1961"/>
    <cellWatch r="G1962"/>
    <cellWatch r="G1963"/>
    <cellWatch r="G1964"/>
    <cellWatch r="G1965"/>
    <cellWatch r="G1966"/>
    <cellWatch r="G1967"/>
    <cellWatch r="G1968"/>
    <cellWatch r="G1969"/>
    <cellWatch r="G1970"/>
    <cellWatch r="G1971"/>
    <cellWatch r="G1972"/>
    <cellWatch r="G1973"/>
    <cellWatch r="G1974"/>
    <cellWatch r="G1975"/>
    <cellWatch r="G1976"/>
    <cellWatch r="G1977"/>
    <cellWatch r="G1978"/>
    <cellWatch r="G1979"/>
    <cellWatch r="G1980"/>
    <cellWatch r="G1981"/>
    <cellWatch r="G1982"/>
    <cellWatch r="G1983"/>
    <cellWatch r="G1984"/>
    <cellWatch r="G1985"/>
    <cellWatch r="G1986"/>
    <cellWatch r="G1987"/>
    <cellWatch r="G1988"/>
    <cellWatch r="G1989"/>
    <cellWatch r="G1990"/>
    <cellWatch r="G1991"/>
    <cellWatch r="G1992"/>
    <cellWatch r="G1993"/>
    <cellWatch r="G1994"/>
    <cellWatch r="G1995"/>
    <cellWatch r="G1996"/>
    <cellWatch r="G1997"/>
    <cellWatch r="G1998"/>
    <cellWatch r="G1999"/>
    <cellWatch r="G2000"/>
    <cellWatch r="G2001"/>
    <cellWatch r="G2002"/>
    <cellWatch r="G2003"/>
    <cellWatch r="G2004"/>
    <cellWatch r="G2005"/>
    <cellWatch r="G2006"/>
    <cellWatch r="G2007"/>
    <cellWatch r="G2008"/>
    <cellWatch r="G2009"/>
    <cellWatch r="G2010"/>
    <cellWatch r="G2011"/>
    <cellWatch r="G2012"/>
    <cellWatch r="G2013"/>
    <cellWatch r="G2014"/>
    <cellWatch r="G2015"/>
    <cellWatch r="G2016"/>
    <cellWatch r="G2017"/>
    <cellWatch r="G2018"/>
    <cellWatch r="G2019"/>
    <cellWatch r="G2020"/>
    <cellWatch r="G2021"/>
    <cellWatch r="G2022"/>
    <cellWatch r="G2023"/>
    <cellWatch r="G2024"/>
    <cellWatch r="G2025"/>
    <cellWatch r="G2026"/>
    <cellWatch r="G2027"/>
    <cellWatch r="G2028"/>
    <cellWatch r="G2029"/>
    <cellWatch r="G2030"/>
    <cellWatch r="G2031"/>
    <cellWatch r="G2032"/>
    <cellWatch r="G2033"/>
    <cellWatch r="G2034"/>
    <cellWatch r="G2035"/>
    <cellWatch r="G2036"/>
    <cellWatch r="G2037"/>
    <cellWatch r="G2038"/>
    <cellWatch r="G2039"/>
    <cellWatch r="G2040"/>
    <cellWatch r="G2041"/>
    <cellWatch r="G2042"/>
    <cellWatch r="G2043"/>
    <cellWatch r="G2044"/>
    <cellWatch r="G2045"/>
    <cellWatch r="G2046"/>
    <cellWatch r="G2047"/>
    <cellWatch r="G2048"/>
    <cellWatch r="G2049"/>
    <cellWatch r="G2050"/>
    <cellWatch r="G2051"/>
    <cellWatch r="G2052"/>
    <cellWatch r="G2053"/>
    <cellWatch r="G2054"/>
    <cellWatch r="G2055"/>
    <cellWatch r="G2056"/>
    <cellWatch r="G2057"/>
    <cellWatch r="G2058"/>
    <cellWatch r="G2059"/>
    <cellWatch r="G2060"/>
    <cellWatch r="G2061"/>
    <cellWatch r="G2062"/>
    <cellWatch r="G2063"/>
    <cellWatch r="G2064"/>
    <cellWatch r="G2065"/>
    <cellWatch r="G2066"/>
    <cellWatch r="G2067"/>
    <cellWatch r="G2068"/>
    <cellWatch r="G2069"/>
    <cellWatch r="G2070"/>
    <cellWatch r="G2071"/>
    <cellWatch r="G2072"/>
    <cellWatch r="G2073"/>
    <cellWatch r="G2074"/>
    <cellWatch r="G2075"/>
    <cellWatch r="G2076"/>
    <cellWatch r="G2077"/>
    <cellWatch r="G2078"/>
    <cellWatch r="G2079"/>
    <cellWatch r="G2080"/>
    <cellWatch r="G2081"/>
    <cellWatch r="G2082"/>
    <cellWatch r="G2083"/>
    <cellWatch r="G2084"/>
    <cellWatch r="G2085"/>
    <cellWatch r="G2086"/>
    <cellWatch r="G2087"/>
    <cellWatch r="G2088"/>
    <cellWatch r="G2089"/>
    <cellWatch r="G2090"/>
    <cellWatch r="G2091"/>
    <cellWatch r="G2092"/>
    <cellWatch r="G2093"/>
    <cellWatch r="G2094"/>
    <cellWatch r="G2095"/>
    <cellWatch r="G2096"/>
    <cellWatch r="G2097"/>
    <cellWatch r="G2098"/>
    <cellWatch r="G2099"/>
    <cellWatch r="G2100"/>
    <cellWatch r="G2101"/>
    <cellWatch r="G2102"/>
    <cellWatch r="G2103"/>
    <cellWatch r="G2104"/>
    <cellWatch r="G2105"/>
    <cellWatch r="G2106"/>
    <cellWatch r="G2107"/>
    <cellWatch r="G2108"/>
    <cellWatch r="G2109"/>
    <cellWatch r="G2110"/>
    <cellWatch r="G2111"/>
    <cellWatch r="G2112"/>
    <cellWatch r="G2113"/>
    <cellWatch r="G2114"/>
    <cellWatch r="G2115"/>
    <cellWatch r="G2116"/>
    <cellWatch r="G2117"/>
    <cellWatch r="G2118"/>
    <cellWatch r="G2119"/>
    <cellWatch r="G2120"/>
    <cellWatch r="G2121"/>
    <cellWatch r="G2122"/>
    <cellWatch r="G2123"/>
    <cellWatch r="G2124"/>
    <cellWatch r="G2125"/>
    <cellWatch r="G2126"/>
    <cellWatch r="G2127"/>
    <cellWatch r="G2128"/>
    <cellWatch r="G2129"/>
    <cellWatch r="G2130"/>
    <cellWatch r="G2131"/>
    <cellWatch r="G2132"/>
    <cellWatch r="G2133"/>
    <cellWatch r="G2134"/>
    <cellWatch r="G2135"/>
    <cellWatch r="G2136"/>
    <cellWatch r="G2137"/>
    <cellWatch r="G2138"/>
    <cellWatch r="G2139"/>
    <cellWatch r="G2140"/>
    <cellWatch r="G2141"/>
    <cellWatch r="G2142"/>
    <cellWatch r="G2143"/>
    <cellWatch r="G2144"/>
    <cellWatch r="G2145"/>
    <cellWatch r="G2146"/>
    <cellWatch r="G2147"/>
    <cellWatch r="G2148"/>
    <cellWatch r="G2149"/>
    <cellWatch r="G2150"/>
    <cellWatch r="G2151"/>
    <cellWatch r="G2152"/>
    <cellWatch r="G2153"/>
    <cellWatch r="G2154"/>
    <cellWatch r="G2155"/>
    <cellWatch r="G2156"/>
    <cellWatch r="G2157"/>
    <cellWatch r="G2158"/>
    <cellWatch r="G2159"/>
    <cellWatch r="G2160"/>
    <cellWatch r="G2161"/>
    <cellWatch r="G2162"/>
    <cellWatch r="G2163"/>
    <cellWatch r="G2164"/>
    <cellWatch r="G2165"/>
    <cellWatch r="G2166"/>
    <cellWatch r="G2167"/>
    <cellWatch r="G2168"/>
    <cellWatch r="G2169"/>
    <cellWatch r="G2170"/>
    <cellWatch r="G2171"/>
    <cellWatch r="G2172"/>
    <cellWatch r="G2173"/>
    <cellWatch r="G2174"/>
    <cellWatch r="G2175"/>
    <cellWatch r="G2176"/>
    <cellWatch r="G2177"/>
    <cellWatch r="G2178"/>
    <cellWatch r="G2179"/>
    <cellWatch r="G2180"/>
    <cellWatch r="G2181"/>
    <cellWatch r="G2182"/>
    <cellWatch r="G2183"/>
    <cellWatch r="G2184"/>
    <cellWatch r="G2185"/>
    <cellWatch r="G2186"/>
    <cellWatch r="G2187"/>
    <cellWatch r="G2188"/>
    <cellWatch r="G2189"/>
    <cellWatch r="G2190"/>
    <cellWatch r="G2191"/>
    <cellWatch r="G2192"/>
    <cellWatch r="G2193"/>
    <cellWatch r="G2194"/>
    <cellWatch r="G2195"/>
    <cellWatch r="G2196"/>
    <cellWatch r="G2197"/>
    <cellWatch r="G2198"/>
    <cellWatch r="G2199"/>
    <cellWatch r="G2200"/>
    <cellWatch r="G2201"/>
    <cellWatch r="G2202"/>
    <cellWatch r="G2203"/>
    <cellWatch r="G2204"/>
    <cellWatch r="G2205"/>
    <cellWatch r="G2206"/>
    <cellWatch r="G2207"/>
    <cellWatch r="G2208"/>
    <cellWatch r="G2209"/>
    <cellWatch r="G2210"/>
    <cellWatch r="G2211"/>
    <cellWatch r="G2212"/>
    <cellWatch r="G2213"/>
    <cellWatch r="G2214"/>
    <cellWatch r="G2215"/>
    <cellWatch r="G2216"/>
    <cellWatch r="G2217"/>
    <cellWatch r="G2218"/>
    <cellWatch r="G2219"/>
    <cellWatch r="G2220"/>
    <cellWatch r="G2221"/>
    <cellWatch r="G2222"/>
    <cellWatch r="G2223"/>
    <cellWatch r="G2224"/>
    <cellWatch r="G2225"/>
    <cellWatch r="G2226"/>
    <cellWatch r="G2227"/>
    <cellWatch r="G2228"/>
    <cellWatch r="G2229"/>
    <cellWatch r="G2230"/>
    <cellWatch r="G2231"/>
    <cellWatch r="G2232"/>
    <cellWatch r="G2233"/>
    <cellWatch r="G2234"/>
    <cellWatch r="G2235"/>
    <cellWatch r="G2236"/>
    <cellWatch r="G2237"/>
    <cellWatch r="G2238"/>
    <cellWatch r="G2239"/>
    <cellWatch r="G2240"/>
    <cellWatch r="G2241"/>
    <cellWatch r="G2242"/>
    <cellWatch r="G2243"/>
    <cellWatch r="G2244"/>
    <cellWatch r="G2245"/>
    <cellWatch r="G2246"/>
    <cellWatch r="G2247"/>
    <cellWatch r="G2248"/>
    <cellWatch r="G2249"/>
    <cellWatch r="G2250"/>
    <cellWatch r="G2251"/>
    <cellWatch r="G2252"/>
    <cellWatch r="G2253"/>
    <cellWatch r="G2254"/>
    <cellWatch r="G2255"/>
    <cellWatch r="G2256"/>
    <cellWatch r="G2257"/>
    <cellWatch r="G2258"/>
    <cellWatch r="G2259"/>
    <cellWatch r="G2260"/>
    <cellWatch r="G2261"/>
    <cellWatch r="G2262"/>
    <cellWatch r="G2263"/>
    <cellWatch r="G2264"/>
    <cellWatch r="G2265"/>
    <cellWatch r="G2266"/>
    <cellWatch r="G2267"/>
    <cellWatch r="G2268"/>
    <cellWatch r="G2269"/>
    <cellWatch r="G2270"/>
    <cellWatch r="G2271"/>
    <cellWatch r="G2272"/>
    <cellWatch r="G2273"/>
    <cellWatch r="G2274"/>
    <cellWatch r="G2275"/>
    <cellWatch r="G2276"/>
    <cellWatch r="G2277"/>
    <cellWatch r="G2278"/>
    <cellWatch r="G2279"/>
    <cellWatch r="G2280"/>
    <cellWatch r="G2281"/>
    <cellWatch r="G2282"/>
    <cellWatch r="G2283"/>
    <cellWatch r="G2284"/>
    <cellWatch r="G2285"/>
    <cellWatch r="G2286"/>
    <cellWatch r="G2287"/>
    <cellWatch r="G2288"/>
    <cellWatch r="G2289"/>
    <cellWatch r="G2290"/>
    <cellWatch r="G2291"/>
    <cellWatch r="G2292"/>
    <cellWatch r="G2293"/>
    <cellWatch r="G2294"/>
    <cellWatch r="G2295"/>
    <cellWatch r="G2296"/>
    <cellWatch r="G2297"/>
    <cellWatch r="G2298"/>
    <cellWatch r="G2299"/>
    <cellWatch r="G2300"/>
    <cellWatch r="G2301"/>
    <cellWatch r="G2302"/>
    <cellWatch r="G2303"/>
    <cellWatch r="G2304"/>
    <cellWatch r="G2305"/>
    <cellWatch r="G2306"/>
    <cellWatch r="G2307"/>
    <cellWatch r="G2308"/>
    <cellWatch r="G2309"/>
    <cellWatch r="G2310"/>
    <cellWatch r="G2311"/>
    <cellWatch r="G2312"/>
    <cellWatch r="G2313"/>
    <cellWatch r="G2314"/>
    <cellWatch r="G2315"/>
    <cellWatch r="G2316"/>
    <cellWatch r="G2317"/>
    <cellWatch r="G2318"/>
    <cellWatch r="G2319"/>
    <cellWatch r="G2320"/>
    <cellWatch r="G2321"/>
    <cellWatch r="G2322"/>
    <cellWatch r="G2323"/>
    <cellWatch r="G2324"/>
    <cellWatch r="G2325"/>
    <cellWatch r="G2326"/>
    <cellWatch r="G2327"/>
    <cellWatch r="G2328"/>
    <cellWatch r="G2329"/>
    <cellWatch r="G2330"/>
    <cellWatch r="G2331"/>
    <cellWatch r="G2332"/>
    <cellWatch r="G2333"/>
    <cellWatch r="G2334"/>
    <cellWatch r="G2335"/>
    <cellWatch r="G2336"/>
    <cellWatch r="G2337"/>
    <cellWatch r="G2338"/>
    <cellWatch r="G2339"/>
    <cellWatch r="G2340"/>
    <cellWatch r="G2341"/>
    <cellWatch r="G2342"/>
    <cellWatch r="G2343"/>
    <cellWatch r="G2344"/>
    <cellWatch r="G2345"/>
    <cellWatch r="G2346"/>
    <cellWatch r="G2347"/>
    <cellWatch r="G2348"/>
    <cellWatch r="G2349"/>
    <cellWatch r="G2350"/>
    <cellWatch r="G2351"/>
    <cellWatch r="G2352"/>
    <cellWatch r="G2353"/>
    <cellWatch r="G2354"/>
    <cellWatch r="G2355"/>
    <cellWatch r="G2356"/>
    <cellWatch r="G2357"/>
    <cellWatch r="G2358"/>
    <cellWatch r="G2359"/>
    <cellWatch r="G2360"/>
    <cellWatch r="G2361"/>
    <cellWatch r="G2362"/>
    <cellWatch r="G2363"/>
    <cellWatch r="G2364"/>
    <cellWatch r="G2365"/>
    <cellWatch r="G2366"/>
    <cellWatch r="G2367"/>
    <cellWatch r="G2368"/>
    <cellWatch r="G2369"/>
    <cellWatch r="G2370"/>
    <cellWatch r="G2371"/>
    <cellWatch r="G2372"/>
    <cellWatch r="G2373"/>
    <cellWatch r="G2374"/>
    <cellWatch r="G2375"/>
    <cellWatch r="G2376"/>
    <cellWatch r="G2377"/>
    <cellWatch r="G2378"/>
    <cellWatch r="G2379"/>
    <cellWatch r="G2380"/>
    <cellWatch r="G2381"/>
    <cellWatch r="G2382"/>
    <cellWatch r="G2383"/>
    <cellWatch r="G2384"/>
    <cellWatch r="G2385"/>
    <cellWatch r="G2386"/>
    <cellWatch r="G2387"/>
    <cellWatch r="G2388"/>
    <cellWatch r="G2389"/>
    <cellWatch r="G2390"/>
    <cellWatch r="G2391"/>
    <cellWatch r="G2392"/>
    <cellWatch r="G2393"/>
    <cellWatch r="G2394"/>
    <cellWatch r="G2395"/>
    <cellWatch r="G2396"/>
    <cellWatch r="G2397"/>
    <cellWatch r="G2398"/>
    <cellWatch r="G2399"/>
    <cellWatch r="G2400"/>
    <cellWatch r="G2401"/>
    <cellWatch r="G2402"/>
    <cellWatch r="G2403"/>
    <cellWatch r="G2404"/>
    <cellWatch r="G2405"/>
    <cellWatch r="G2406"/>
    <cellWatch r="G2407"/>
    <cellWatch r="G2408"/>
    <cellWatch r="G2409"/>
    <cellWatch r="G2410"/>
    <cellWatch r="G2411"/>
    <cellWatch r="G2412"/>
    <cellWatch r="G2413"/>
    <cellWatch r="G2414"/>
    <cellWatch r="G2415"/>
    <cellWatch r="G2416"/>
    <cellWatch r="G2417"/>
    <cellWatch r="G2418"/>
    <cellWatch r="G2419"/>
    <cellWatch r="G2420"/>
    <cellWatch r="G2421"/>
    <cellWatch r="G2422"/>
    <cellWatch r="G2423"/>
    <cellWatch r="G2424"/>
    <cellWatch r="G2425"/>
    <cellWatch r="G2426"/>
    <cellWatch r="G2427"/>
    <cellWatch r="G2428"/>
    <cellWatch r="G2429"/>
    <cellWatch r="G2430"/>
    <cellWatch r="G2431"/>
    <cellWatch r="G2432"/>
    <cellWatch r="G2433"/>
    <cellWatch r="G2434"/>
    <cellWatch r="G2435"/>
    <cellWatch r="G2436"/>
    <cellWatch r="G2437"/>
    <cellWatch r="G2438"/>
    <cellWatch r="G2439"/>
    <cellWatch r="G2440"/>
    <cellWatch r="G2441"/>
    <cellWatch r="G2442"/>
    <cellWatch r="G2443"/>
    <cellWatch r="G2444"/>
    <cellWatch r="G2445"/>
    <cellWatch r="G2446"/>
    <cellWatch r="G2447"/>
    <cellWatch r="G2448"/>
    <cellWatch r="G2449"/>
    <cellWatch r="G2450"/>
    <cellWatch r="G2451"/>
    <cellWatch r="G2452"/>
    <cellWatch r="G2453"/>
    <cellWatch r="G2454"/>
    <cellWatch r="G2455"/>
    <cellWatch r="G2456"/>
    <cellWatch r="G2457"/>
    <cellWatch r="G2458"/>
    <cellWatch r="G2459"/>
    <cellWatch r="G2460"/>
    <cellWatch r="G2461"/>
    <cellWatch r="G2462"/>
    <cellWatch r="G2463"/>
    <cellWatch r="G2464"/>
    <cellWatch r="G2465"/>
    <cellWatch r="G2466"/>
    <cellWatch r="G2467"/>
    <cellWatch r="G2468"/>
    <cellWatch r="G2469"/>
    <cellWatch r="G2470"/>
    <cellWatch r="G2471"/>
    <cellWatch r="G2472"/>
    <cellWatch r="G2473"/>
    <cellWatch r="G2474"/>
    <cellWatch r="G2475"/>
    <cellWatch r="G2476"/>
    <cellWatch r="G2477"/>
    <cellWatch r="G2478"/>
    <cellWatch r="G2479"/>
    <cellWatch r="G2480"/>
    <cellWatch r="G2481"/>
    <cellWatch r="G2482"/>
    <cellWatch r="G2483"/>
    <cellWatch r="G2484"/>
    <cellWatch r="G2485"/>
    <cellWatch r="G2486"/>
    <cellWatch r="G2487"/>
    <cellWatch r="G2488"/>
    <cellWatch r="G2489"/>
    <cellWatch r="G2490"/>
    <cellWatch r="G2491"/>
    <cellWatch r="G2492"/>
    <cellWatch r="G2493"/>
    <cellWatch r="G2494"/>
    <cellWatch r="G2495"/>
    <cellWatch r="G2496"/>
    <cellWatch r="G2497"/>
    <cellWatch r="G2498"/>
    <cellWatch r="G2499"/>
    <cellWatch r="G2500"/>
    <cellWatch r="G2501"/>
    <cellWatch r="G2502"/>
    <cellWatch r="G2503"/>
    <cellWatch r="G2504"/>
    <cellWatch r="G2505"/>
    <cellWatch r="G2506"/>
    <cellWatch r="G2507"/>
    <cellWatch r="G2508"/>
    <cellWatch r="G2509"/>
    <cellWatch r="G2510"/>
    <cellWatch r="G2511"/>
    <cellWatch r="G2512"/>
    <cellWatch r="G2513"/>
    <cellWatch r="G2514"/>
    <cellWatch r="G2515"/>
    <cellWatch r="G2516"/>
    <cellWatch r="G2517"/>
    <cellWatch r="G2518"/>
    <cellWatch r="G2519"/>
    <cellWatch r="G2520"/>
    <cellWatch r="G2521"/>
    <cellWatch r="G2522"/>
    <cellWatch r="G2523"/>
    <cellWatch r="G2524"/>
    <cellWatch r="G2525"/>
    <cellWatch r="G2526"/>
    <cellWatch r="G2527"/>
    <cellWatch r="G2528"/>
    <cellWatch r="G2529"/>
    <cellWatch r="G2530"/>
    <cellWatch r="G2531"/>
    <cellWatch r="G2532"/>
    <cellWatch r="G2533"/>
    <cellWatch r="G2534"/>
    <cellWatch r="G2535"/>
    <cellWatch r="G2536"/>
    <cellWatch r="G2537"/>
    <cellWatch r="G2538"/>
    <cellWatch r="G2539"/>
    <cellWatch r="G2540"/>
    <cellWatch r="G2541"/>
    <cellWatch r="G2542"/>
    <cellWatch r="G2543"/>
    <cellWatch r="G2544"/>
    <cellWatch r="G2545"/>
    <cellWatch r="G2546"/>
    <cellWatch r="G2547"/>
    <cellWatch r="G2548"/>
    <cellWatch r="G2549"/>
    <cellWatch r="G2550"/>
    <cellWatch r="G2551"/>
    <cellWatch r="G2552"/>
    <cellWatch r="G2553"/>
    <cellWatch r="G2554"/>
    <cellWatch r="G2555"/>
    <cellWatch r="G2556"/>
    <cellWatch r="G2557"/>
    <cellWatch r="G2558"/>
    <cellWatch r="G2559"/>
    <cellWatch r="G2560"/>
    <cellWatch r="G2561"/>
    <cellWatch r="G2562"/>
    <cellWatch r="G2563"/>
    <cellWatch r="G2564"/>
    <cellWatch r="G2565"/>
    <cellWatch r="G2566"/>
    <cellWatch r="G2567"/>
    <cellWatch r="G2568"/>
    <cellWatch r="G2569"/>
    <cellWatch r="G2570"/>
    <cellWatch r="G2571"/>
    <cellWatch r="G2572"/>
    <cellWatch r="G2573"/>
    <cellWatch r="G2574"/>
    <cellWatch r="G2575"/>
    <cellWatch r="G2576"/>
    <cellWatch r="G2577"/>
    <cellWatch r="G2578"/>
    <cellWatch r="G2579"/>
    <cellWatch r="G2580"/>
    <cellWatch r="G2581"/>
    <cellWatch r="G2582"/>
    <cellWatch r="G2583"/>
    <cellWatch r="G2584"/>
    <cellWatch r="G2585"/>
    <cellWatch r="G2586"/>
    <cellWatch r="G2587"/>
    <cellWatch r="G2588"/>
    <cellWatch r="G2589"/>
    <cellWatch r="G2590"/>
    <cellWatch r="G2591"/>
    <cellWatch r="G2592"/>
    <cellWatch r="G2593"/>
    <cellWatch r="G2594"/>
    <cellWatch r="G2595"/>
    <cellWatch r="G2596"/>
    <cellWatch r="G2597"/>
    <cellWatch r="G2598"/>
    <cellWatch r="G2599"/>
    <cellWatch r="G2600"/>
    <cellWatch r="G2601"/>
    <cellWatch r="G2602"/>
    <cellWatch r="G2603"/>
    <cellWatch r="G2604"/>
    <cellWatch r="G2605"/>
    <cellWatch r="G2606"/>
    <cellWatch r="G2607"/>
    <cellWatch r="G2608"/>
    <cellWatch r="G2609"/>
    <cellWatch r="G2610"/>
    <cellWatch r="G2611"/>
    <cellWatch r="G2612"/>
    <cellWatch r="G2613"/>
    <cellWatch r="G2614"/>
    <cellWatch r="G2615"/>
    <cellWatch r="G2616"/>
    <cellWatch r="G2617"/>
    <cellWatch r="G2618"/>
    <cellWatch r="G2619"/>
    <cellWatch r="G2620"/>
    <cellWatch r="G2621"/>
    <cellWatch r="G2622"/>
    <cellWatch r="G2623"/>
    <cellWatch r="G2624"/>
    <cellWatch r="G2625"/>
    <cellWatch r="G2626"/>
    <cellWatch r="G2627"/>
    <cellWatch r="G2628"/>
    <cellWatch r="G2629"/>
    <cellWatch r="G2630"/>
    <cellWatch r="G2631"/>
    <cellWatch r="G2632"/>
    <cellWatch r="G2633"/>
    <cellWatch r="G2634"/>
    <cellWatch r="G2635"/>
    <cellWatch r="G2636"/>
    <cellWatch r="G2637"/>
    <cellWatch r="G2638"/>
    <cellWatch r="G2639"/>
    <cellWatch r="G2640"/>
    <cellWatch r="G2641"/>
    <cellWatch r="G2642"/>
    <cellWatch r="G2643"/>
    <cellWatch r="G2644"/>
    <cellWatch r="G2645"/>
    <cellWatch r="G2646"/>
    <cellWatch r="G2647"/>
    <cellWatch r="G2648"/>
    <cellWatch r="G2649"/>
    <cellWatch r="G2650"/>
    <cellWatch r="G2651"/>
    <cellWatch r="G2652"/>
    <cellWatch r="G2653"/>
    <cellWatch r="G2654"/>
    <cellWatch r="G2655"/>
    <cellWatch r="G2656"/>
    <cellWatch r="G2657"/>
    <cellWatch r="G2658"/>
    <cellWatch r="G2659"/>
    <cellWatch r="G2660"/>
    <cellWatch r="G2661"/>
    <cellWatch r="G2662"/>
    <cellWatch r="G2663"/>
    <cellWatch r="G2664"/>
    <cellWatch r="G2665"/>
    <cellWatch r="G2666"/>
    <cellWatch r="G2667"/>
    <cellWatch r="G2668"/>
    <cellWatch r="G2669"/>
    <cellWatch r="G2670"/>
    <cellWatch r="G2671"/>
    <cellWatch r="G2672"/>
    <cellWatch r="G2673"/>
    <cellWatch r="G2674"/>
    <cellWatch r="G2675"/>
    <cellWatch r="G2676"/>
    <cellWatch r="G2677"/>
    <cellWatch r="G2678"/>
    <cellWatch r="G2679"/>
    <cellWatch r="G2680"/>
    <cellWatch r="G2681"/>
    <cellWatch r="G2682"/>
    <cellWatch r="G2683"/>
    <cellWatch r="G2684"/>
    <cellWatch r="G2685"/>
    <cellWatch r="G2686"/>
    <cellWatch r="G2687"/>
    <cellWatch r="G2688"/>
    <cellWatch r="G2689"/>
    <cellWatch r="G2690"/>
    <cellWatch r="G2691"/>
    <cellWatch r="G2692"/>
    <cellWatch r="G2693"/>
    <cellWatch r="G2694"/>
    <cellWatch r="G2695"/>
    <cellWatch r="G2696"/>
    <cellWatch r="G2697"/>
    <cellWatch r="G2698"/>
    <cellWatch r="G2699"/>
    <cellWatch r="G2700"/>
    <cellWatch r="G2701"/>
    <cellWatch r="G2702"/>
    <cellWatch r="G2703"/>
    <cellWatch r="G2704"/>
    <cellWatch r="G2705"/>
    <cellWatch r="G2706"/>
    <cellWatch r="G2707"/>
    <cellWatch r="G2708"/>
    <cellWatch r="G2709"/>
    <cellWatch r="G2710"/>
    <cellWatch r="G2711"/>
    <cellWatch r="G2712"/>
    <cellWatch r="G2713"/>
    <cellWatch r="G2714"/>
    <cellWatch r="G2715"/>
    <cellWatch r="G2716"/>
    <cellWatch r="G2717"/>
    <cellWatch r="G2718"/>
    <cellWatch r="G2719"/>
    <cellWatch r="G2720"/>
    <cellWatch r="G2721"/>
    <cellWatch r="G2722"/>
    <cellWatch r="G2723"/>
    <cellWatch r="G2724"/>
    <cellWatch r="G2725"/>
    <cellWatch r="G2726"/>
    <cellWatch r="G2727"/>
    <cellWatch r="G2728"/>
    <cellWatch r="G2729"/>
    <cellWatch r="G2730"/>
    <cellWatch r="G2731"/>
    <cellWatch r="G2732"/>
    <cellWatch r="G2733"/>
    <cellWatch r="G2734"/>
    <cellWatch r="G2735"/>
    <cellWatch r="G2736"/>
    <cellWatch r="G2737"/>
    <cellWatch r="G2738"/>
    <cellWatch r="G2739"/>
    <cellWatch r="G2740"/>
    <cellWatch r="G2741"/>
    <cellWatch r="G2742"/>
    <cellWatch r="G2743"/>
    <cellWatch r="G2744"/>
    <cellWatch r="G2745"/>
    <cellWatch r="G2746"/>
    <cellWatch r="G2747"/>
    <cellWatch r="G2748"/>
    <cellWatch r="G2749"/>
    <cellWatch r="G2750"/>
    <cellWatch r="G2751"/>
    <cellWatch r="G2752"/>
    <cellWatch r="G2753"/>
    <cellWatch r="G2754"/>
    <cellWatch r="G2755"/>
    <cellWatch r="G2756"/>
    <cellWatch r="G2757"/>
    <cellWatch r="G2758"/>
    <cellWatch r="G2759"/>
    <cellWatch r="G2760"/>
    <cellWatch r="G2761"/>
    <cellWatch r="G2762"/>
    <cellWatch r="G2763"/>
    <cellWatch r="G2764"/>
    <cellWatch r="G2765"/>
    <cellWatch r="G2766"/>
    <cellWatch r="G2767"/>
    <cellWatch r="G2768"/>
    <cellWatch r="G2769"/>
    <cellWatch r="G2770"/>
    <cellWatch r="G2771"/>
    <cellWatch r="G2772"/>
    <cellWatch r="G2773"/>
    <cellWatch r="G2774"/>
    <cellWatch r="G2775"/>
    <cellWatch r="G2776"/>
    <cellWatch r="G2777"/>
    <cellWatch r="G2778"/>
    <cellWatch r="G2779"/>
    <cellWatch r="G2780"/>
    <cellWatch r="G2781"/>
    <cellWatch r="G2782"/>
    <cellWatch r="G2783"/>
    <cellWatch r="G2784"/>
    <cellWatch r="G2785"/>
    <cellWatch r="G2786"/>
    <cellWatch r="G2787"/>
    <cellWatch r="G2788"/>
    <cellWatch r="G2789"/>
    <cellWatch r="G2790"/>
    <cellWatch r="G2791"/>
    <cellWatch r="G2792"/>
    <cellWatch r="G2793"/>
    <cellWatch r="G2794"/>
    <cellWatch r="G2795"/>
    <cellWatch r="G2796"/>
    <cellWatch r="G2797"/>
    <cellWatch r="G2798"/>
    <cellWatch r="G2799"/>
    <cellWatch r="G2800"/>
    <cellWatch r="G2801"/>
    <cellWatch r="G2802"/>
    <cellWatch r="G2803"/>
    <cellWatch r="G2804"/>
    <cellWatch r="G2805"/>
    <cellWatch r="G2806"/>
    <cellWatch r="G2807"/>
    <cellWatch r="G2808"/>
    <cellWatch r="G2809"/>
    <cellWatch r="G2810"/>
    <cellWatch r="G2811"/>
    <cellWatch r="G2812"/>
    <cellWatch r="G2813"/>
    <cellWatch r="G2814"/>
    <cellWatch r="G2815"/>
    <cellWatch r="G2816"/>
    <cellWatch r="G2817"/>
    <cellWatch r="G2818"/>
    <cellWatch r="G2819"/>
    <cellWatch r="G2820"/>
    <cellWatch r="G2821"/>
    <cellWatch r="G2822"/>
    <cellWatch r="G2823"/>
    <cellWatch r="G2824"/>
    <cellWatch r="G2825"/>
    <cellWatch r="G2826"/>
    <cellWatch r="G2827"/>
    <cellWatch r="G2828"/>
    <cellWatch r="G2829"/>
    <cellWatch r="G2830"/>
    <cellWatch r="G2831"/>
    <cellWatch r="G2832"/>
    <cellWatch r="G2833"/>
    <cellWatch r="G2834"/>
    <cellWatch r="G2835"/>
    <cellWatch r="G2836"/>
    <cellWatch r="G2837"/>
    <cellWatch r="G2838"/>
    <cellWatch r="G2839"/>
    <cellWatch r="G2840"/>
    <cellWatch r="G2841"/>
    <cellWatch r="G2842"/>
    <cellWatch r="G2843"/>
    <cellWatch r="G2844"/>
    <cellWatch r="G2845"/>
    <cellWatch r="G2846"/>
    <cellWatch r="G2847"/>
    <cellWatch r="G2848"/>
    <cellWatch r="G2849"/>
    <cellWatch r="G2850"/>
    <cellWatch r="G2851"/>
    <cellWatch r="G2852"/>
    <cellWatch r="G2853"/>
    <cellWatch r="G2854"/>
    <cellWatch r="G2855"/>
    <cellWatch r="G2856"/>
    <cellWatch r="G2857"/>
    <cellWatch r="G2858"/>
    <cellWatch r="G2859"/>
    <cellWatch r="G2860"/>
    <cellWatch r="G2861"/>
    <cellWatch r="G2862"/>
    <cellWatch r="G2863"/>
    <cellWatch r="G2864"/>
    <cellWatch r="G2865"/>
    <cellWatch r="G2866"/>
    <cellWatch r="G2867"/>
    <cellWatch r="G2868"/>
    <cellWatch r="G2869"/>
    <cellWatch r="G2870"/>
    <cellWatch r="G2871"/>
    <cellWatch r="G2872"/>
    <cellWatch r="G2873"/>
    <cellWatch r="G2874"/>
    <cellWatch r="G2875"/>
    <cellWatch r="G2876"/>
    <cellWatch r="G2877"/>
    <cellWatch r="G2878"/>
    <cellWatch r="G2879"/>
    <cellWatch r="G2880"/>
    <cellWatch r="G2881"/>
    <cellWatch r="G2882"/>
    <cellWatch r="G2883"/>
    <cellWatch r="G2884"/>
    <cellWatch r="G2885"/>
    <cellWatch r="G2886"/>
    <cellWatch r="G2887"/>
    <cellWatch r="G2888"/>
    <cellWatch r="G2889"/>
    <cellWatch r="G2890"/>
    <cellWatch r="G2891"/>
    <cellWatch r="G2892"/>
    <cellWatch r="G2893"/>
    <cellWatch r="G2894"/>
    <cellWatch r="G2895"/>
    <cellWatch r="G2896"/>
    <cellWatch r="G2897"/>
    <cellWatch r="G2898"/>
    <cellWatch r="G2899"/>
    <cellWatch r="G2900"/>
    <cellWatch r="G2901"/>
    <cellWatch r="G2902"/>
    <cellWatch r="G2903"/>
    <cellWatch r="G2904"/>
    <cellWatch r="G2905"/>
    <cellWatch r="G2906"/>
    <cellWatch r="G2907"/>
    <cellWatch r="G2908"/>
    <cellWatch r="G2909"/>
    <cellWatch r="G2910"/>
    <cellWatch r="G2911"/>
    <cellWatch r="G2912"/>
    <cellWatch r="G2913"/>
    <cellWatch r="G2914"/>
    <cellWatch r="G2915"/>
    <cellWatch r="G2916"/>
    <cellWatch r="G2917"/>
    <cellWatch r="G2918"/>
    <cellWatch r="G2919"/>
    <cellWatch r="G2920"/>
    <cellWatch r="G2921"/>
    <cellWatch r="G2922"/>
    <cellWatch r="G2923"/>
    <cellWatch r="G2924"/>
    <cellWatch r="G2925"/>
    <cellWatch r="G2926"/>
    <cellWatch r="G2927"/>
    <cellWatch r="G2928"/>
    <cellWatch r="G2929"/>
    <cellWatch r="G2930"/>
    <cellWatch r="G2931"/>
    <cellWatch r="G2932"/>
    <cellWatch r="G2933"/>
    <cellWatch r="G2934"/>
    <cellWatch r="G2935"/>
    <cellWatch r="G2936"/>
    <cellWatch r="G2937"/>
    <cellWatch r="G2938"/>
    <cellWatch r="G2939"/>
    <cellWatch r="G2940"/>
    <cellWatch r="G2941"/>
    <cellWatch r="G2942"/>
    <cellWatch r="G2943"/>
    <cellWatch r="G2944"/>
    <cellWatch r="G2945"/>
    <cellWatch r="G2946"/>
    <cellWatch r="G2947"/>
    <cellWatch r="G2948"/>
    <cellWatch r="G2949"/>
    <cellWatch r="G2950"/>
    <cellWatch r="G2951"/>
    <cellWatch r="G2952"/>
    <cellWatch r="G2953"/>
    <cellWatch r="G2954"/>
    <cellWatch r="G2955"/>
    <cellWatch r="G2956"/>
    <cellWatch r="G2957"/>
    <cellWatch r="G2958"/>
    <cellWatch r="G2959"/>
    <cellWatch r="G2960"/>
    <cellWatch r="G2961"/>
    <cellWatch r="G2962"/>
    <cellWatch r="G2963"/>
    <cellWatch r="G2964"/>
    <cellWatch r="G2965"/>
    <cellWatch r="G2966"/>
    <cellWatch r="G2967"/>
    <cellWatch r="G2968"/>
    <cellWatch r="G2969"/>
    <cellWatch r="G2970"/>
    <cellWatch r="G2971"/>
    <cellWatch r="G2972"/>
    <cellWatch r="G2973"/>
    <cellWatch r="G2974"/>
    <cellWatch r="G2975"/>
    <cellWatch r="G2976"/>
    <cellWatch r="G2977"/>
    <cellWatch r="G2978"/>
    <cellWatch r="G2979"/>
    <cellWatch r="G2980"/>
    <cellWatch r="G2981"/>
    <cellWatch r="G2982"/>
    <cellWatch r="G2983"/>
    <cellWatch r="G2984"/>
    <cellWatch r="G2985"/>
    <cellWatch r="G2986"/>
    <cellWatch r="G2987"/>
    <cellWatch r="G2988"/>
    <cellWatch r="G2989"/>
    <cellWatch r="G2990"/>
    <cellWatch r="G2991"/>
    <cellWatch r="G2992"/>
    <cellWatch r="G2993"/>
    <cellWatch r="G2994"/>
    <cellWatch r="G2995"/>
    <cellWatch r="G2996"/>
    <cellWatch r="G2997"/>
    <cellWatch r="G2998"/>
    <cellWatch r="G2999"/>
    <cellWatch r="G3000"/>
    <cellWatch r="G3001"/>
    <cellWatch r="G3002"/>
    <cellWatch r="G3003"/>
    <cellWatch r="G3004"/>
    <cellWatch r="G3005"/>
    <cellWatch r="G3006"/>
    <cellWatch r="G3007"/>
    <cellWatch r="G3008"/>
    <cellWatch r="G3009"/>
    <cellWatch r="G3010"/>
    <cellWatch r="G3011"/>
    <cellWatch r="G3012"/>
    <cellWatch r="G3013"/>
    <cellWatch r="G3014"/>
    <cellWatch r="G3015"/>
    <cellWatch r="G3016"/>
    <cellWatch r="G3017"/>
    <cellWatch r="G3018"/>
    <cellWatch r="G3019"/>
    <cellWatch r="G3020"/>
    <cellWatch r="G3021"/>
    <cellWatch r="G3022"/>
    <cellWatch r="G3023"/>
    <cellWatch r="G3024"/>
    <cellWatch r="G3025"/>
    <cellWatch r="G3026"/>
    <cellWatch r="G3027"/>
    <cellWatch r="G3028"/>
    <cellWatch r="G3029"/>
    <cellWatch r="G3030"/>
    <cellWatch r="G3031"/>
    <cellWatch r="G3032"/>
    <cellWatch r="G3033"/>
    <cellWatch r="G3034"/>
    <cellWatch r="G3035"/>
    <cellWatch r="G3036"/>
    <cellWatch r="G3037"/>
    <cellWatch r="G3038"/>
    <cellWatch r="G3039"/>
    <cellWatch r="G3040"/>
    <cellWatch r="G3041"/>
    <cellWatch r="G3042"/>
    <cellWatch r="G3043"/>
    <cellWatch r="G3044"/>
    <cellWatch r="G3045"/>
    <cellWatch r="G3046"/>
    <cellWatch r="G3047"/>
    <cellWatch r="G3048"/>
    <cellWatch r="G3049"/>
    <cellWatch r="G3050"/>
    <cellWatch r="G3051"/>
    <cellWatch r="G3052"/>
    <cellWatch r="G3053"/>
    <cellWatch r="G3054"/>
    <cellWatch r="G3055"/>
    <cellWatch r="G3056"/>
    <cellWatch r="G3057"/>
    <cellWatch r="G3058"/>
    <cellWatch r="G3059"/>
    <cellWatch r="G3060"/>
    <cellWatch r="G3061"/>
    <cellWatch r="G3062"/>
    <cellWatch r="G3063"/>
    <cellWatch r="G3064"/>
    <cellWatch r="G3065"/>
    <cellWatch r="G3066"/>
    <cellWatch r="G3067"/>
    <cellWatch r="G3068"/>
    <cellWatch r="G3069"/>
    <cellWatch r="G3070"/>
    <cellWatch r="G3071"/>
    <cellWatch r="G3072"/>
    <cellWatch r="G3073"/>
    <cellWatch r="G3074"/>
    <cellWatch r="G3075"/>
    <cellWatch r="G3076"/>
    <cellWatch r="G3077"/>
    <cellWatch r="G3078"/>
    <cellWatch r="G3079"/>
    <cellWatch r="G3080"/>
    <cellWatch r="G3081"/>
    <cellWatch r="G3082"/>
    <cellWatch r="G3083"/>
    <cellWatch r="G3084"/>
    <cellWatch r="G3085"/>
    <cellWatch r="G3086"/>
    <cellWatch r="G3087"/>
    <cellWatch r="G3088"/>
    <cellWatch r="G3089"/>
    <cellWatch r="G3090"/>
    <cellWatch r="G3091"/>
    <cellWatch r="G3092"/>
    <cellWatch r="G3093"/>
    <cellWatch r="G3094"/>
    <cellWatch r="G3095"/>
    <cellWatch r="G3096"/>
    <cellWatch r="G3097"/>
    <cellWatch r="G3098"/>
    <cellWatch r="G3099"/>
    <cellWatch r="G3100"/>
    <cellWatch r="G3101"/>
    <cellWatch r="G3102"/>
    <cellWatch r="G3103"/>
    <cellWatch r="G3104"/>
    <cellWatch r="G3105"/>
    <cellWatch r="G3106"/>
    <cellWatch r="G3107"/>
    <cellWatch r="G3108"/>
    <cellWatch r="G3109"/>
    <cellWatch r="G3110"/>
    <cellWatch r="G3111"/>
    <cellWatch r="G3112"/>
    <cellWatch r="G3113"/>
    <cellWatch r="G3114"/>
    <cellWatch r="G3115"/>
    <cellWatch r="G3116"/>
    <cellWatch r="G3117"/>
    <cellWatch r="G3118"/>
    <cellWatch r="G3119"/>
    <cellWatch r="G3120"/>
    <cellWatch r="G3121"/>
    <cellWatch r="G3122"/>
    <cellWatch r="G3123"/>
    <cellWatch r="G3124"/>
    <cellWatch r="G3125"/>
    <cellWatch r="G3126"/>
    <cellWatch r="G3127"/>
    <cellWatch r="G3128"/>
    <cellWatch r="G3129"/>
    <cellWatch r="G3130"/>
    <cellWatch r="G3131"/>
    <cellWatch r="G3132"/>
    <cellWatch r="G3133"/>
    <cellWatch r="G3134"/>
    <cellWatch r="G3135"/>
    <cellWatch r="G3136"/>
    <cellWatch r="G3137"/>
    <cellWatch r="G3138"/>
    <cellWatch r="G3139"/>
    <cellWatch r="G3140"/>
    <cellWatch r="G3141"/>
    <cellWatch r="G3142"/>
    <cellWatch r="G3143"/>
    <cellWatch r="G3144"/>
    <cellWatch r="G3145"/>
    <cellWatch r="G3146"/>
    <cellWatch r="G3147"/>
    <cellWatch r="G3148"/>
    <cellWatch r="G3149"/>
    <cellWatch r="G3150"/>
    <cellWatch r="G3151"/>
    <cellWatch r="G3152"/>
    <cellWatch r="G3153"/>
    <cellWatch r="G3154"/>
    <cellWatch r="G3155"/>
    <cellWatch r="G3156"/>
    <cellWatch r="G3157"/>
    <cellWatch r="G3158"/>
    <cellWatch r="G3159"/>
    <cellWatch r="G3160"/>
    <cellWatch r="G3161"/>
    <cellWatch r="G3162"/>
    <cellWatch r="G3163"/>
    <cellWatch r="G3164"/>
    <cellWatch r="G3165"/>
    <cellWatch r="G3166"/>
    <cellWatch r="G3167"/>
    <cellWatch r="G3168"/>
    <cellWatch r="G3169"/>
    <cellWatch r="G3170"/>
    <cellWatch r="G3171"/>
    <cellWatch r="G3172"/>
    <cellWatch r="G3173"/>
    <cellWatch r="G3174"/>
    <cellWatch r="G3175"/>
    <cellWatch r="G3176"/>
    <cellWatch r="G3177"/>
    <cellWatch r="G3178"/>
    <cellWatch r="G3179"/>
    <cellWatch r="G3180"/>
    <cellWatch r="G3181"/>
    <cellWatch r="G3182"/>
    <cellWatch r="G3183"/>
    <cellWatch r="G3184"/>
    <cellWatch r="G3185"/>
    <cellWatch r="G3186"/>
    <cellWatch r="G3187"/>
    <cellWatch r="G3188"/>
    <cellWatch r="G3189"/>
    <cellWatch r="G3190"/>
    <cellWatch r="G3191"/>
    <cellWatch r="G3192"/>
    <cellWatch r="G3193"/>
    <cellWatch r="G3194"/>
    <cellWatch r="G3195"/>
    <cellWatch r="G3196"/>
    <cellWatch r="G3197"/>
    <cellWatch r="G3198"/>
    <cellWatch r="G3199"/>
    <cellWatch r="G3200"/>
    <cellWatch r="G3201"/>
    <cellWatch r="G3202"/>
    <cellWatch r="G3203"/>
    <cellWatch r="G3204"/>
    <cellWatch r="G3205"/>
    <cellWatch r="G3206"/>
    <cellWatch r="G3207"/>
    <cellWatch r="G3208"/>
    <cellWatch r="G3209"/>
    <cellWatch r="G3210"/>
    <cellWatch r="G3211"/>
    <cellWatch r="G3212"/>
    <cellWatch r="G3213"/>
    <cellWatch r="G3214"/>
    <cellWatch r="G3215"/>
    <cellWatch r="G3216"/>
    <cellWatch r="G3217"/>
    <cellWatch r="G3218"/>
    <cellWatch r="G3219"/>
    <cellWatch r="G3220"/>
    <cellWatch r="G3221"/>
    <cellWatch r="G3222"/>
    <cellWatch r="G3223"/>
    <cellWatch r="G3224"/>
    <cellWatch r="G3225"/>
    <cellWatch r="G3226"/>
    <cellWatch r="G3227"/>
    <cellWatch r="G3228"/>
    <cellWatch r="G3229"/>
    <cellWatch r="G3230"/>
    <cellWatch r="G3231"/>
    <cellWatch r="G3232"/>
    <cellWatch r="G3233"/>
    <cellWatch r="G3234"/>
    <cellWatch r="G3235"/>
    <cellWatch r="G3236"/>
    <cellWatch r="G3237"/>
    <cellWatch r="G3238"/>
    <cellWatch r="G3239"/>
    <cellWatch r="G3240"/>
    <cellWatch r="G3241"/>
    <cellWatch r="G3242"/>
    <cellWatch r="G3243"/>
    <cellWatch r="G3244"/>
    <cellWatch r="G3245"/>
    <cellWatch r="G3246"/>
    <cellWatch r="G3247"/>
    <cellWatch r="G3248"/>
    <cellWatch r="G3249"/>
    <cellWatch r="G3250"/>
    <cellWatch r="G3251"/>
    <cellWatch r="G3252"/>
    <cellWatch r="G3253"/>
    <cellWatch r="G3254"/>
    <cellWatch r="G3255"/>
    <cellWatch r="G3256"/>
    <cellWatch r="G3257"/>
    <cellWatch r="G3258"/>
    <cellWatch r="G3259"/>
    <cellWatch r="G3260"/>
    <cellWatch r="G3261"/>
    <cellWatch r="G3262"/>
    <cellWatch r="G3263"/>
    <cellWatch r="G3264"/>
    <cellWatch r="G3265"/>
    <cellWatch r="G3266"/>
    <cellWatch r="G3267"/>
    <cellWatch r="G3268"/>
    <cellWatch r="G3269"/>
    <cellWatch r="G3270"/>
    <cellWatch r="G3271"/>
    <cellWatch r="G3272"/>
    <cellWatch r="G3273"/>
    <cellWatch r="G3274"/>
    <cellWatch r="G3275"/>
    <cellWatch r="G3276"/>
    <cellWatch r="G3277"/>
    <cellWatch r="G3278"/>
    <cellWatch r="G3279"/>
    <cellWatch r="G3280"/>
    <cellWatch r="G3281"/>
    <cellWatch r="G3282"/>
    <cellWatch r="G3283"/>
    <cellWatch r="G3284"/>
    <cellWatch r="G3285"/>
    <cellWatch r="G3286"/>
    <cellWatch r="G3287"/>
    <cellWatch r="G3288"/>
    <cellWatch r="G3289"/>
    <cellWatch r="G3290"/>
    <cellWatch r="G3291"/>
    <cellWatch r="G3292"/>
    <cellWatch r="G3293"/>
    <cellWatch r="G3294"/>
    <cellWatch r="G3295"/>
    <cellWatch r="G3296"/>
    <cellWatch r="G3297"/>
    <cellWatch r="G3298"/>
    <cellWatch r="G3299"/>
    <cellWatch r="G3300"/>
    <cellWatch r="G3301"/>
    <cellWatch r="G3302"/>
    <cellWatch r="G3303"/>
    <cellWatch r="G3304"/>
    <cellWatch r="G3305"/>
    <cellWatch r="G3306"/>
    <cellWatch r="G3307"/>
    <cellWatch r="G3308"/>
    <cellWatch r="G3309"/>
    <cellWatch r="G3310"/>
    <cellWatch r="G3311"/>
    <cellWatch r="G3312"/>
    <cellWatch r="G3313"/>
    <cellWatch r="G3314"/>
    <cellWatch r="G3315"/>
    <cellWatch r="G3316"/>
    <cellWatch r="G3317"/>
    <cellWatch r="G3318"/>
    <cellWatch r="G3319"/>
    <cellWatch r="G3320"/>
    <cellWatch r="G3321"/>
    <cellWatch r="G3322"/>
    <cellWatch r="G3323"/>
    <cellWatch r="G3324"/>
    <cellWatch r="G3325"/>
    <cellWatch r="G3326"/>
    <cellWatch r="G3327"/>
    <cellWatch r="G3328"/>
    <cellWatch r="G3329"/>
    <cellWatch r="G3330"/>
    <cellWatch r="G3331"/>
    <cellWatch r="G3332"/>
    <cellWatch r="G3333"/>
    <cellWatch r="G3334"/>
    <cellWatch r="G3335"/>
    <cellWatch r="G3336"/>
    <cellWatch r="G3337"/>
    <cellWatch r="G3338"/>
    <cellWatch r="G3339"/>
    <cellWatch r="G3340"/>
    <cellWatch r="G3341"/>
    <cellWatch r="G3342"/>
    <cellWatch r="G3343"/>
    <cellWatch r="G3344"/>
    <cellWatch r="G3345"/>
    <cellWatch r="G3346"/>
    <cellWatch r="G3347"/>
    <cellWatch r="G3348"/>
    <cellWatch r="G3349"/>
    <cellWatch r="G3350"/>
    <cellWatch r="G3351"/>
    <cellWatch r="G3352"/>
    <cellWatch r="G3353"/>
    <cellWatch r="G3354"/>
    <cellWatch r="G3355"/>
    <cellWatch r="G3356"/>
    <cellWatch r="G3357"/>
    <cellWatch r="G3358"/>
    <cellWatch r="G3359"/>
    <cellWatch r="G3360"/>
    <cellWatch r="G3361"/>
    <cellWatch r="G3362"/>
    <cellWatch r="G3363"/>
    <cellWatch r="G3364"/>
    <cellWatch r="G3365"/>
    <cellWatch r="G3366"/>
    <cellWatch r="G3367"/>
    <cellWatch r="G3368"/>
    <cellWatch r="G3369"/>
    <cellWatch r="G3370"/>
    <cellWatch r="G3371"/>
    <cellWatch r="G3372"/>
    <cellWatch r="G3373"/>
    <cellWatch r="G3374"/>
    <cellWatch r="G3375"/>
    <cellWatch r="G3376"/>
    <cellWatch r="G3377"/>
    <cellWatch r="G3378"/>
    <cellWatch r="G3379"/>
    <cellWatch r="G3380"/>
    <cellWatch r="G3381"/>
    <cellWatch r="G3382"/>
    <cellWatch r="G3383"/>
    <cellWatch r="G3384"/>
    <cellWatch r="G3385"/>
    <cellWatch r="G3386"/>
    <cellWatch r="G3387"/>
    <cellWatch r="G3388"/>
    <cellWatch r="G3389"/>
    <cellWatch r="G3390"/>
    <cellWatch r="G3391"/>
    <cellWatch r="G3392"/>
    <cellWatch r="G3393"/>
    <cellWatch r="G3394"/>
    <cellWatch r="G3395"/>
    <cellWatch r="G3396"/>
    <cellWatch r="G3397"/>
    <cellWatch r="G3398"/>
    <cellWatch r="G3399"/>
    <cellWatch r="G3400"/>
    <cellWatch r="G3401"/>
    <cellWatch r="G3402"/>
    <cellWatch r="G3403"/>
    <cellWatch r="G3404"/>
    <cellWatch r="G3405"/>
    <cellWatch r="G3406"/>
    <cellWatch r="G3407"/>
    <cellWatch r="G3408"/>
    <cellWatch r="G3409"/>
    <cellWatch r="G3410"/>
    <cellWatch r="G3411"/>
    <cellWatch r="G3412"/>
    <cellWatch r="G3413"/>
    <cellWatch r="G3414"/>
    <cellWatch r="G3415"/>
    <cellWatch r="G3416"/>
    <cellWatch r="G3417"/>
    <cellWatch r="G3418"/>
    <cellWatch r="G3419"/>
    <cellWatch r="G3420"/>
    <cellWatch r="G3421"/>
    <cellWatch r="G3422"/>
    <cellWatch r="G3423"/>
    <cellWatch r="G3424"/>
    <cellWatch r="G3425"/>
    <cellWatch r="G3426"/>
    <cellWatch r="G3427"/>
    <cellWatch r="G3428"/>
    <cellWatch r="G3429"/>
    <cellWatch r="G3430"/>
    <cellWatch r="G3431"/>
    <cellWatch r="G3432"/>
    <cellWatch r="G3433"/>
    <cellWatch r="G3434"/>
    <cellWatch r="G3435"/>
    <cellWatch r="G3436"/>
    <cellWatch r="G3437"/>
    <cellWatch r="G3438"/>
    <cellWatch r="G3439"/>
    <cellWatch r="G3440"/>
    <cellWatch r="G3441"/>
    <cellWatch r="G3442"/>
    <cellWatch r="G3443"/>
    <cellWatch r="G3444"/>
    <cellWatch r="G3445"/>
    <cellWatch r="G3446"/>
    <cellWatch r="G3447"/>
    <cellWatch r="G3448"/>
    <cellWatch r="G3449"/>
    <cellWatch r="G3450"/>
    <cellWatch r="G3451"/>
    <cellWatch r="G3452"/>
    <cellWatch r="G3453"/>
    <cellWatch r="G3454"/>
    <cellWatch r="G3455"/>
    <cellWatch r="G3456"/>
    <cellWatch r="G3457"/>
    <cellWatch r="G3458"/>
    <cellWatch r="G3459"/>
    <cellWatch r="G3460"/>
    <cellWatch r="G3461"/>
    <cellWatch r="G3462"/>
    <cellWatch r="G3463"/>
    <cellWatch r="G3464"/>
    <cellWatch r="G3465"/>
    <cellWatch r="G3466"/>
    <cellWatch r="G3467"/>
    <cellWatch r="G3468"/>
    <cellWatch r="G3469"/>
    <cellWatch r="G3470"/>
    <cellWatch r="G3471"/>
    <cellWatch r="G3472"/>
    <cellWatch r="G3473"/>
    <cellWatch r="G3474"/>
    <cellWatch r="G3475"/>
    <cellWatch r="G3476"/>
    <cellWatch r="G3477"/>
    <cellWatch r="G3478"/>
    <cellWatch r="G3479"/>
    <cellWatch r="G3480"/>
    <cellWatch r="G3481"/>
    <cellWatch r="G3482"/>
    <cellWatch r="G3483"/>
    <cellWatch r="G3484"/>
    <cellWatch r="G3485"/>
    <cellWatch r="G3486"/>
    <cellWatch r="G3487"/>
    <cellWatch r="G3488"/>
    <cellWatch r="G3489"/>
    <cellWatch r="G3490"/>
    <cellWatch r="G3491"/>
    <cellWatch r="G3492"/>
    <cellWatch r="G3493"/>
    <cellWatch r="G3494"/>
    <cellWatch r="G3495"/>
    <cellWatch r="G3496"/>
    <cellWatch r="G3497"/>
    <cellWatch r="G3498"/>
    <cellWatch r="G3499"/>
    <cellWatch r="G3500"/>
    <cellWatch r="G3501"/>
    <cellWatch r="G3502"/>
    <cellWatch r="G3503"/>
    <cellWatch r="G3504"/>
    <cellWatch r="G3505"/>
    <cellWatch r="G3506"/>
    <cellWatch r="G3507"/>
    <cellWatch r="G3508"/>
    <cellWatch r="G3509"/>
    <cellWatch r="G3510"/>
    <cellWatch r="G3511"/>
    <cellWatch r="G3512"/>
    <cellWatch r="G3513"/>
    <cellWatch r="G3514"/>
    <cellWatch r="G3515"/>
    <cellWatch r="G3516"/>
    <cellWatch r="G3517"/>
    <cellWatch r="G3518"/>
    <cellWatch r="G3519"/>
    <cellWatch r="G3520"/>
    <cellWatch r="G3521"/>
    <cellWatch r="G3522"/>
    <cellWatch r="G3523"/>
    <cellWatch r="G3524"/>
    <cellWatch r="G3525"/>
    <cellWatch r="G3526"/>
    <cellWatch r="G3527"/>
    <cellWatch r="G3528"/>
    <cellWatch r="G3529"/>
    <cellWatch r="G3530"/>
    <cellWatch r="G3531"/>
    <cellWatch r="G3532"/>
    <cellWatch r="G3533"/>
    <cellWatch r="G3534"/>
    <cellWatch r="G3535"/>
    <cellWatch r="G3536"/>
    <cellWatch r="G3537"/>
    <cellWatch r="G3538"/>
    <cellWatch r="G3539"/>
    <cellWatch r="G3540"/>
    <cellWatch r="G3541"/>
    <cellWatch r="G3542"/>
    <cellWatch r="G3543"/>
    <cellWatch r="G3544"/>
    <cellWatch r="G3545"/>
    <cellWatch r="G3546"/>
    <cellWatch r="G3547"/>
    <cellWatch r="G3548"/>
    <cellWatch r="G3549"/>
    <cellWatch r="G3550"/>
    <cellWatch r="G3551"/>
    <cellWatch r="G3552"/>
    <cellWatch r="G3553"/>
    <cellWatch r="G3554"/>
    <cellWatch r="G3555"/>
    <cellWatch r="G3556"/>
    <cellWatch r="G3557"/>
    <cellWatch r="G3558"/>
    <cellWatch r="G3559"/>
    <cellWatch r="G3560"/>
    <cellWatch r="G3561"/>
    <cellWatch r="G3562"/>
    <cellWatch r="G3563"/>
    <cellWatch r="G3564"/>
    <cellWatch r="G3565"/>
    <cellWatch r="G3566"/>
    <cellWatch r="G3567"/>
    <cellWatch r="G3568"/>
    <cellWatch r="G3569"/>
    <cellWatch r="G3570"/>
    <cellWatch r="G3571"/>
    <cellWatch r="G3572"/>
    <cellWatch r="G3573"/>
    <cellWatch r="G3574"/>
    <cellWatch r="G3575"/>
    <cellWatch r="G3576"/>
    <cellWatch r="G3577"/>
    <cellWatch r="G3578"/>
    <cellWatch r="G3579"/>
    <cellWatch r="G3580"/>
    <cellWatch r="G3581"/>
    <cellWatch r="G3582"/>
    <cellWatch r="G3583"/>
    <cellWatch r="G3584"/>
    <cellWatch r="G3585"/>
    <cellWatch r="G3586"/>
    <cellWatch r="G3587"/>
    <cellWatch r="G3588"/>
    <cellWatch r="G3589"/>
    <cellWatch r="G3590"/>
    <cellWatch r="G3591"/>
    <cellWatch r="G3592"/>
    <cellWatch r="G3593"/>
    <cellWatch r="G3594"/>
    <cellWatch r="G3595"/>
    <cellWatch r="G3596"/>
    <cellWatch r="G3597"/>
    <cellWatch r="G3598"/>
    <cellWatch r="G3599"/>
    <cellWatch r="G3600"/>
    <cellWatch r="G3601"/>
    <cellWatch r="G3602"/>
    <cellWatch r="G3603"/>
    <cellWatch r="G3604"/>
    <cellWatch r="G3605"/>
    <cellWatch r="G3606"/>
    <cellWatch r="G3607"/>
    <cellWatch r="G3608"/>
    <cellWatch r="G3609"/>
    <cellWatch r="G3610"/>
    <cellWatch r="G3611"/>
    <cellWatch r="G3612"/>
    <cellWatch r="G3613"/>
    <cellWatch r="G3614"/>
    <cellWatch r="G3615"/>
    <cellWatch r="G3616"/>
    <cellWatch r="G3617"/>
    <cellWatch r="G3618"/>
    <cellWatch r="G3619"/>
    <cellWatch r="G3620"/>
    <cellWatch r="G3621"/>
    <cellWatch r="G3622"/>
    <cellWatch r="G3623"/>
    <cellWatch r="G3624"/>
    <cellWatch r="G3625"/>
    <cellWatch r="G3626"/>
    <cellWatch r="G3627"/>
    <cellWatch r="G3628"/>
    <cellWatch r="G3629"/>
    <cellWatch r="G3630"/>
    <cellWatch r="G3631"/>
    <cellWatch r="G3632"/>
    <cellWatch r="G3633"/>
    <cellWatch r="G3634"/>
    <cellWatch r="G3635"/>
    <cellWatch r="G3636"/>
    <cellWatch r="G3637"/>
    <cellWatch r="G3638"/>
    <cellWatch r="G3639"/>
    <cellWatch r="G3640"/>
    <cellWatch r="G3641"/>
    <cellWatch r="G3642"/>
    <cellWatch r="G3643"/>
    <cellWatch r="G3644"/>
    <cellWatch r="G3645"/>
    <cellWatch r="G3646"/>
    <cellWatch r="G3647"/>
    <cellWatch r="G3648"/>
    <cellWatch r="G3649"/>
    <cellWatch r="G3650"/>
    <cellWatch r="G3651"/>
    <cellWatch r="G3652"/>
    <cellWatch r="G3653"/>
    <cellWatch r="G3654"/>
    <cellWatch r="G3655"/>
    <cellWatch r="G3656"/>
    <cellWatch r="G3657"/>
    <cellWatch r="G3658"/>
    <cellWatch r="G3659"/>
    <cellWatch r="G3660"/>
    <cellWatch r="G3661"/>
    <cellWatch r="G3662"/>
    <cellWatch r="G3663"/>
    <cellWatch r="G3664"/>
    <cellWatch r="G3665"/>
    <cellWatch r="G3666"/>
    <cellWatch r="G3667"/>
    <cellWatch r="G3668"/>
    <cellWatch r="G3669"/>
    <cellWatch r="G3670"/>
    <cellWatch r="G3671"/>
    <cellWatch r="G3672"/>
    <cellWatch r="G3673"/>
    <cellWatch r="G3674"/>
    <cellWatch r="G3675"/>
    <cellWatch r="G3676"/>
    <cellWatch r="G3677"/>
    <cellWatch r="G3678"/>
    <cellWatch r="G3679"/>
    <cellWatch r="G3680"/>
    <cellWatch r="G3681"/>
    <cellWatch r="G3682"/>
    <cellWatch r="G3683"/>
    <cellWatch r="G3684"/>
    <cellWatch r="G3685"/>
    <cellWatch r="G3686"/>
    <cellWatch r="G3687"/>
    <cellWatch r="G3688"/>
    <cellWatch r="G3689"/>
    <cellWatch r="G3690"/>
    <cellWatch r="G3691"/>
    <cellWatch r="G3692"/>
    <cellWatch r="G3693"/>
    <cellWatch r="G3694"/>
    <cellWatch r="G3695"/>
    <cellWatch r="G3696"/>
    <cellWatch r="G3697"/>
    <cellWatch r="G3698"/>
    <cellWatch r="G3699"/>
    <cellWatch r="G3700"/>
    <cellWatch r="G3701"/>
    <cellWatch r="G3702"/>
    <cellWatch r="G3703"/>
    <cellWatch r="G3704"/>
    <cellWatch r="G3705"/>
    <cellWatch r="G3706"/>
    <cellWatch r="G3707"/>
    <cellWatch r="G3708"/>
    <cellWatch r="G3709"/>
    <cellWatch r="G3710"/>
    <cellWatch r="G3711"/>
    <cellWatch r="G3712"/>
    <cellWatch r="G3713"/>
    <cellWatch r="G3714"/>
    <cellWatch r="G3715"/>
    <cellWatch r="G3716"/>
    <cellWatch r="G3717"/>
    <cellWatch r="G3718"/>
    <cellWatch r="G3719"/>
    <cellWatch r="G3720"/>
    <cellWatch r="G3721"/>
    <cellWatch r="G3722"/>
    <cellWatch r="G3723"/>
    <cellWatch r="G3724"/>
    <cellWatch r="G3725"/>
    <cellWatch r="G3726"/>
    <cellWatch r="G3727"/>
    <cellWatch r="G3728"/>
    <cellWatch r="G3729"/>
    <cellWatch r="G3730"/>
    <cellWatch r="G3731"/>
    <cellWatch r="G3732"/>
    <cellWatch r="G3733"/>
    <cellWatch r="G3734"/>
    <cellWatch r="G3735"/>
    <cellWatch r="G3736"/>
    <cellWatch r="G3737"/>
    <cellWatch r="G3738"/>
    <cellWatch r="G3739"/>
    <cellWatch r="G3740"/>
    <cellWatch r="G3741"/>
    <cellWatch r="G3742"/>
    <cellWatch r="G3743"/>
    <cellWatch r="G3744"/>
    <cellWatch r="G3745"/>
    <cellWatch r="G3746"/>
    <cellWatch r="G3747"/>
    <cellWatch r="G3748"/>
    <cellWatch r="G3749"/>
    <cellWatch r="G3750"/>
    <cellWatch r="G3751"/>
    <cellWatch r="G3752"/>
    <cellWatch r="G3753"/>
    <cellWatch r="G3754"/>
    <cellWatch r="G3755"/>
    <cellWatch r="G3756"/>
    <cellWatch r="G3757"/>
    <cellWatch r="G3758"/>
    <cellWatch r="G3759"/>
    <cellWatch r="G3760"/>
    <cellWatch r="G3761"/>
    <cellWatch r="G3762"/>
    <cellWatch r="G3763"/>
    <cellWatch r="G3764"/>
    <cellWatch r="G3765"/>
    <cellWatch r="G3766"/>
    <cellWatch r="G3767"/>
    <cellWatch r="G3768"/>
    <cellWatch r="G3769"/>
    <cellWatch r="G3770"/>
    <cellWatch r="G3771"/>
    <cellWatch r="G3772"/>
    <cellWatch r="G3773"/>
    <cellWatch r="G3774"/>
    <cellWatch r="G3775"/>
    <cellWatch r="G3776"/>
    <cellWatch r="G3777"/>
    <cellWatch r="G3778"/>
    <cellWatch r="G3779"/>
    <cellWatch r="G3780"/>
    <cellWatch r="G3781"/>
    <cellWatch r="G3782"/>
    <cellWatch r="G3783"/>
    <cellWatch r="G3784"/>
    <cellWatch r="G3785"/>
    <cellWatch r="G3786"/>
    <cellWatch r="G3787"/>
    <cellWatch r="G3788"/>
    <cellWatch r="G3789"/>
    <cellWatch r="G3790"/>
    <cellWatch r="G3791"/>
    <cellWatch r="G3792"/>
    <cellWatch r="G3793"/>
    <cellWatch r="G3794"/>
    <cellWatch r="G3795"/>
    <cellWatch r="G3796"/>
    <cellWatch r="G3797"/>
    <cellWatch r="G3798"/>
    <cellWatch r="G3799"/>
    <cellWatch r="G3800"/>
    <cellWatch r="G3801"/>
    <cellWatch r="G3802"/>
    <cellWatch r="G3803"/>
    <cellWatch r="G3804"/>
    <cellWatch r="G3805"/>
    <cellWatch r="G3806"/>
    <cellWatch r="G3807"/>
    <cellWatch r="G3808"/>
    <cellWatch r="G3809"/>
    <cellWatch r="G3810"/>
    <cellWatch r="G3811"/>
    <cellWatch r="G3812"/>
    <cellWatch r="G3813"/>
    <cellWatch r="G3814"/>
    <cellWatch r="G3815"/>
    <cellWatch r="G3816"/>
    <cellWatch r="G3817"/>
    <cellWatch r="G3818"/>
    <cellWatch r="G3819"/>
    <cellWatch r="G3820"/>
    <cellWatch r="G3821"/>
    <cellWatch r="G3822"/>
    <cellWatch r="G3823"/>
    <cellWatch r="G3824"/>
    <cellWatch r="G3825"/>
    <cellWatch r="G3826"/>
    <cellWatch r="G3827"/>
    <cellWatch r="G3828"/>
    <cellWatch r="G3829"/>
    <cellWatch r="G3830"/>
    <cellWatch r="G3831"/>
    <cellWatch r="G3832"/>
    <cellWatch r="G3833"/>
    <cellWatch r="G3834"/>
    <cellWatch r="G3835"/>
    <cellWatch r="G3836"/>
    <cellWatch r="G3837"/>
    <cellWatch r="G3838"/>
    <cellWatch r="G3839"/>
    <cellWatch r="G3840"/>
    <cellWatch r="G3841"/>
    <cellWatch r="G3842"/>
    <cellWatch r="G3843"/>
    <cellWatch r="G3844"/>
    <cellWatch r="G3845"/>
    <cellWatch r="G3846"/>
    <cellWatch r="G3847"/>
    <cellWatch r="G3848"/>
    <cellWatch r="G3849"/>
    <cellWatch r="G3850"/>
    <cellWatch r="G3851"/>
    <cellWatch r="G3852"/>
    <cellWatch r="G3853"/>
    <cellWatch r="G3854"/>
    <cellWatch r="G3855"/>
    <cellWatch r="G3856"/>
    <cellWatch r="G3857"/>
    <cellWatch r="G3858"/>
    <cellWatch r="G3859"/>
    <cellWatch r="G3860"/>
    <cellWatch r="G3861"/>
    <cellWatch r="G3862"/>
    <cellWatch r="G3863"/>
    <cellWatch r="G3864"/>
    <cellWatch r="G3865"/>
    <cellWatch r="G3866"/>
    <cellWatch r="G3867"/>
    <cellWatch r="G3868"/>
    <cellWatch r="G3869"/>
    <cellWatch r="G3870"/>
    <cellWatch r="G3871"/>
    <cellWatch r="G3872"/>
    <cellWatch r="G3873"/>
    <cellWatch r="G3874"/>
    <cellWatch r="G3875"/>
    <cellWatch r="G3876"/>
    <cellWatch r="G3877"/>
    <cellWatch r="G3878"/>
    <cellWatch r="G3879"/>
    <cellWatch r="G3880"/>
    <cellWatch r="G3881"/>
    <cellWatch r="G3882"/>
    <cellWatch r="G3883"/>
    <cellWatch r="G3884"/>
    <cellWatch r="G3885"/>
    <cellWatch r="G3886"/>
    <cellWatch r="G3887"/>
    <cellWatch r="G3888"/>
    <cellWatch r="G3889"/>
    <cellWatch r="G3890"/>
    <cellWatch r="G3891"/>
    <cellWatch r="G3892"/>
    <cellWatch r="G3893"/>
    <cellWatch r="G3894"/>
    <cellWatch r="G3895"/>
    <cellWatch r="G3896"/>
    <cellWatch r="G3897"/>
    <cellWatch r="G3898"/>
    <cellWatch r="G3899"/>
    <cellWatch r="G3900"/>
    <cellWatch r="G3901"/>
    <cellWatch r="G3902"/>
    <cellWatch r="G3903"/>
    <cellWatch r="G3904"/>
    <cellWatch r="G3905"/>
    <cellWatch r="G3906"/>
    <cellWatch r="G3907"/>
    <cellWatch r="G3908"/>
    <cellWatch r="G3909"/>
    <cellWatch r="G3910"/>
    <cellWatch r="G3911"/>
    <cellWatch r="G3912"/>
    <cellWatch r="G3913"/>
    <cellWatch r="G3914"/>
    <cellWatch r="G3915"/>
    <cellWatch r="G3916"/>
    <cellWatch r="G3917"/>
    <cellWatch r="G3918"/>
    <cellWatch r="G3919"/>
    <cellWatch r="G3920"/>
    <cellWatch r="G3921"/>
    <cellWatch r="G3922"/>
    <cellWatch r="G3923"/>
    <cellWatch r="G3924"/>
    <cellWatch r="G3925"/>
    <cellWatch r="G3926"/>
    <cellWatch r="G3927"/>
    <cellWatch r="G3928"/>
    <cellWatch r="G3929"/>
    <cellWatch r="G3930"/>
    <cellWatch r="G3931"/>
    <cellWatch r="G3932"/>
    <cellWatch r="G3933"/>
    <cellWatch r="G3934"/>
    <cellWatch r="G3935"/>
    <cellWatch r="G3936"/>
    <cellWatch r="G3937"/>
    <cellWatch r="G3938"/>
    <cellWatch r="G3939"/>
    <cellWatch r="G3940"/>
    <cellWatch r="G3941"/>
    <cellWatch r="G3942"/>
    <cellWatch r="G3943"/>
    <cellWatch r="G3944"/>
    <cellWatch r="G3945"/>
    <cellWatch r="G3946"/>
    <cellWatch r="G3947"/>
    <cellWatch r="G3948"/>
    <cellWatch r="G3949"/>
    <cellWatch r="G3950"/>
    <cellWatch r="G3951"/>
    <cellWatch r="G3952"/>
    <cellWatch r="G3953"/>
    <cellWatch r="G3954"/>
    <cellWatch r="G3955"/>
    <cellWatch r="G3956"/>
    <cellWatch r="G3957"/>
    <cellWatch r="G3958"/>
    <cellWatch r="G3959"/>
    <cellWatch r="G3960"/>
    <cellWatch r="G3961"/>
    <cellWatch r="G3962"/>
    <cellWatch r="G3963"/>
    <cellWatch r="G3964"/>
    <cellWatch r="G3965"/>
    <cellWatch r="G3966"/>
    <cellWatch r="G3967"/>
    <cellWatch r="G3968"/>
    <cellWatch r="G3969"/>
    <cellWatch r="G3970"/>
    <cellWatch r="G3971"/>
    <cellWatch r="G3972"/>
    <cellWatch r="G3973"/>
    <cellWatch r="G3974"/>
    <cellWatch r="G3975"/>
    <cellWatch r="G3976"/>
    <cellWatch r="G3977"/>
    <cellWatch r="G3978"/>
    <cellWatch r="G3979"/>
    <cellWatch r="G3980"/>
    <cellWatch r="G3981"/>
    <cellWatch r="G3982"/>
    <cellWatch r="G3983"/>
    <cellWatch r="G3984"/>
    <cellWatch r="G3985"/>
    <cellWatch r="G3986"/>
    <cellWatch r="G3987"/>
    <cellWatch r="G3988"/>
    <cellWatch r="G3989"/>
    <cellWatch r="G3990"/>
    <cellWatch r="G3991"/>
    <cellWatch r="G3992"/>
    <cellWatch r="G3993"/>
    <cellWatch r="G3994"/>
    <cellWatch r="G3995"/>
    <cellWatch r="G3996"/>
    <cellWatch r="G3997"/>
    <cellWatch r="G3998"/>
    <cellWatch r="G3999"/>
    <cellWatch r="G4000"/>
    <cellWatch r="G4001"/>
    <cellWatch r="G4002"/>
    <cellWatch r="G4003"/>
    <cellWatch r="G4004"/>
    <cellWatch r="G4005"/>
    <cellWatch r="G4006"/>
    <cellWatch r="G4007"/>
    <cellWatch r="G4008"/>
    <cellWatch r="G4009"/>
    <cellWatch r="G4010"/>
    <cellWatch r="G4011"/>
    <cellWatch r="G4012"/>
    <cellWatch r="G4013"/>
    <cellWatch r="G4014"/>
    <cellWatch r="G4015"/>
    <cellWatch r="G4016"/>
    <cellWatch r="G4017"/>
    <cellWatch r="G4018"/>
    <cellWatch r="G4019"/>
    <cellWatch r="G4020"/>
    <cellWatch r="G4021"/>
    <cellWatch r="G4022"/>
    <cellWatch r="G4023"/>
    <cellWatch r="G4024"/>
    <cellWatch r="G4025"/>
    <cellWatch r="G4026"/>
    <cellWatch r="G4027"/>
    <cellWatch r="G4028"/>
    <cellWatch r="G4029"/>
    <cellWatch r="G4030"/>
    <cellWatch r="G4031"/>
    <cellWatch r="G4032"/>
    <cellWatch r="G4033"/>
    <cellWatch r="G4034"/>
    <cellWatch r="G4035"/>
    <cellWatch r="G4036"/>
    <cellWatch r="G4037"/>
    <cellWatch r="G4038"/>
    <cellWatch r="G4039"/>
    <cellWatch r="G4040"/>
    <cellWatch r="G4041"/>
    <cellWatch r="G4042"/>
    <cellWatch r="G4043"/>
    <cellWatch r="G4044"/>
    <cellWatch r="G4045"/>
    <cellWatch r="G4046"/>
    <cellWatch r="G4047"/>
    <cellWatch r="G4048"/>
    <cellWatch r="G4049"/>
    <cellWatch r="G4050"/>
    <cellWatch r="G4051"/>
    <cellWatch r="G4052"/>
    <cellWatch r="G4053"/>
    <cellWatch r="G4054"/>
    <cellWatch r="G4055"/>
    <cellWatch r="G4056"/>
    <cellWatch r="G4057"/>
    <cellWatch r="G4058"/>
    <cellWatch r="G4059"/>
    <cellWatch r="G4060"/>
    <cellWatch r="G4061"/>
    <cellWatch r="G4062"/>
    <cellWatch r="G4063"/>
    <cellWatch r="G4064"/>
    <cellWatch r="G4065"/>
    <cellWatch r="G4066"/>
    <cellWatch r="G4067"/>
    <cellWatch r="G4068"/>
    <cellWatch r="G4069"/>
    <cellWatch r="G4070"/>
    <cellWatch r="G4071"/>
    <cellWatch r="G4072"/>
    <cellWatch r="G4073"/>
    <cellWatch r="G4074"/>
    <cellWatch r="G4075"/>
    <cellWatch r="G4076"/>
    <cellWatch r="G4077"/>
    <cellWatch r="G4078"/>
    <cellWatch r="G4079"/>
    <cellWatch r="G4080"/>
    <cellWatch r="G4081"/>
    <cellWatch r="G4082"/>
    <cellWatch r="G4083"/>
    <cellWatch r="G4084"/>
    <cellWatch r="G4085"/>
    <cellWatch r="G4086"/>
    <cellWatch r="G4087"/>
    <cellWatch r="G4088"/>
    <cellWatch r="G4089"/>
    <cellWatch r="G4090"/>
    <cellWatch r="G4091"/>
    <cellWatch r="G4092"/>
    <cellWatch r="G4093"/>
    <cellWatch r="G4094"/>
    <cellWatch r="G4095"/>
    <cellWatch r="G4096"/>
    <cellWatch r="G4097"/>
    <cellWatch r="G4098"/>
    <cellWatch r="G4099"/>
    <cellWatch r="G4100"/>
    <cellWatch r="G4101"/>
    <cellWatch r="G4102"/>
    <cellWatch r="G4103"/>
    <cellWatch r="G4104"/>
    <cellWatch r="G4105"/>
    <cellWatch r="G4106"/>
    <cellWatch r="G4107"/>
    <cellWatch r="G4108"/>
    <cellWatch r="G4109"/>
    <cellWatch r="G4110"/>
    <cellWatch r="G4111"/>
    <cellWatch r="G4112"/>
    <cellWatch r="G4113"/>
    <cellWatch r="G4114"/>
    <cellWatch r="G4115"/>
    <cellWatch r="G4116"/>
    <cellWatch r="G4117"/>
    <cellWatch r="G4118"/>
    <cellWatch r="G4119"/>
    <cellWatch r="G4120"/>
    <cellWatch r="G4121"/>
    <cellWatch r="G4122"/>
    <cellWatch r="G4123"/>
    <cellWatch r="G4124"/>
    <cellWatch r="G4125"/>
    <cellWatch r="G4126"/>
    <cellWatch r="G4127"/>
    <cellWatch r="G4128"/>
    <cellWatch r="G4129"/>
    <cellWatch r="G4130"/>
    <cellWatch r="G4131"/>
    <cellWatch r="G4132"/>
    <cellWatch r="G4133"/>
    <cellWatch r="G4134"/>
    <cellWatch r="G4135"/>
    <cellWatch r="G4136"/>
    <cellWatch r="G4137"/>
    <cellWatch r="G4138"/>
    <cellWatch r="G4139"/>
    <cellWatch r="G4140"/>
    <cellWatch r="G4141"/>
    <cellWatch r="G4142"/>
    <cellWatch r="G4143"/>
    <cellWatch r="G4144"/>
    <cellWatch r="G4145"/>
    <cellWatch r="G4146"/>
    <cellWatch r="G4147"/>
    <cellWatch r="G4148"/>
    <cellWatch r="G4149"/>
    <cellWatch r="G4150"/>
    <cellWatch r="G4151"/>
    <cellWatch r="G4152"/>
    <cellWatch r="G4153"/>
    <cellWatch r="G4154"/>
    <cellWatch r="G4155"/>
    <cellWatch r="G4156"/>
    <cellWatch r="G4157"/>
    <cellWatch r="G4158"/>
    <cellWatch r="G4159"/>
    <cellWatch r="G4160"/>
    <cellWatch r="G4161"/>
    <cellWatch r="G4162"/>
    <cellWatch r="G4163"/>
    <cellWatch r="G4164"/>
    <cellWatch r="G4165"/>
    <cellWatch r="G4166"/>
    <cellWatch r="G4167"/>
    <cellWatch r="G4168"/>
    <cellWatch r="G4169"/>
    <cellWatch r="G4170"/>
    <cellWatch r="G4171"/>
    <cellWatch r="G4172"/>
    <cellWatch r="G4173"/>
    <cellWatch r="G4174"/>
    <cellWatch r="G4175"/>
    <cellWatch r="G4176"/>
    <cellWatch r="G4177"/>
    <cellWatch r="G4178"/>
    <cellWatch r="G4179"/>
    <cellWatch r="G4180"/>
    <cellWatch r="G4181"/>
    <cellWatch r="G4182"/>
    <cellWatch r="G4183"/>
    <cellWatch r="G4184"/>
    <cellWatch r="G4185"/>
    <cellWatch r="G4186"/>
    <cellWatch r="G4187"/>
    <cellWatch r="G4188"/>
    <cellWatch r="G4189"/>
    <cellWatch r="G4190"/>
    <cellWatch r="G4191"/>
    <cellWatch r="G4192"/>
    <cellWatch r="G4193"/>
    <cellWatch r="G4194"/>
    <cellWatch r="G4195"/>
    <cellWatch r="G4196"/>
    <cellWatch r="G4197"/>
    <cellWatch r="G4198"/>
    <cellWatch r="G4199"/>
    <cellWatch r="G4200"/>
    <cellWatch r="G4201"/>
    <cellWatch r="G4202"/>
    <cellWatch r="G4203"/>
    <cellWatch r="G4204"/>
    <cellWatch r="G4205"/>
    <cellWatch r="G4206"/>
    <cellWatch r="G4207"/>
    <cellWatch r="G4208"/>
    <cellWatch r="G4209"/>
    <cellWatch r="G4210"/>
    <cellWatch r="G4211"/>
    <cellWatch r="G4212"/>
    <cellWatch r="G4213"/>
    <cellWatch r="G4214"/>
    <cellWatch r="G4215"/>
    <cellWatch r="G4216"/>
    <cellWatch r="G4217"/>
    <cellWatch r="G4218"/>
    <cellWatch r="G4219"/>
    <cellWatch r="G4220"/>
    <cellWatch r="G4221"/>
    <cellWatch r="G4222"/>
    <cellWatch r="G4223"/>
    <cellWatch r="G4224"/>
    <cellWatch r="G4225"/>
    <cellWatch r="G4226"/>
    <cellWatch r="G4227"/>
    <cellWatch r="G4228"/>
    <cellWatch r="G4229"/>
    <cellWatch r="G4230"/>
    <cellWatch r="G4231"/>
    <cellWatch r="G4232"/>
    <cellWatch r="G4233"/>
    <cellWatch r="G4234"/>
    <cellWatch r="G4235"/>
    <cellWatch r="G4236"/>
    <cellWatch r="G4237"/>
    <cellWatch r="G4238"/>
    <cellWatch r="G4239"/>
    <cellWatch r="G4240"/>
    <cellWatch r="G4241"/>
    <cellWatch r="G4242"/>
    <cellWatch r="G4243"/>
    <cellWatch r="G4244"/>
    <cellWatch r="G4245"/>
    <cellWatch r="G4246"/>
    <cellWatch r="G4247"/>
    <cellWatch r="G4248"/>
    <cellWatch r="G4249"/>
    <cellWatch r="G4250"/>
    <cellWatch r="G4251"/>
    <cellWatch r="G4252"/>
    <cellWatch r="G4253"/>
    <cellWatch r="G4254"/>
    <cellWatch r="G4255"/>
    <cellWatch r="G4256"/>
    <cellWatch r="G4257"/>
    <cellWatch r="G4258"/>
    <cellWatch r="G4259"/>
    <cellWatch r="G4260"/>
    <cellWatch r="G4261"/>
    <cellWatch r="G4262"/>
    <cellWatch r="G4263"/>
    <cellWatch r="G4264"/>
    <cellWatch r="G4265"/>
    <cellWatch r="G4266"/>
    <cellWatch r="G4267"/>
    <cellWatch r="G4268"/>
    <cellWatch r="G4269"/>
    <cellWatch r="G4270"/>
    <cellWatch r="G4271"/>
    <cellWatch r="G4272"/>
    <cellWatch r="G4273"/>
    <cellWatch r="G4274"/>
    <cellWatch r="G4275"/>
    <cellWatch r="G4276"/>
    <cellWatch r="G4277"/>
    <cellWatch r="G4278"/>
    <cellWatch r="G4279"/>
    <cellWatch r="G4280"/>
    <cellWatch r="G4281"/>
    <cellWatch r="G4282"/>
    <cellWatch r="G4283"/>
    <cellWatch r="G4284"/>
    <cellWatch r="G4285"/>
    <cellWatch r="G4286"/>
    <cellWatch r="G4287"/>
    <cellWatch r="G4288"/>
    <cellWatch r="G4289"/>
    <cellWatch r="G4290"/>
    <cellWatch r="G4291"/>
    <cellWatch r="G4292"/>
    <cellWatch r="G4293"/>
    <cellWatch r="G4294"/>
    <cellWatch r="G4295"/>
    <cellWatch r="G4296"/>
    <cellWatch r="G4297"/>
    <cellWatch r="G4298"/>
    <cellWatch r="G4299"/>
    <cellWatch r="G4300"/>
    <cellWatch r="G4301"/>
    <cellWatch r="G4302"/>
    <cellWatch r="G4303"/>
    <cellWatch r="G4304"/>
    <cellWatch r="G4305"/>
    <cellWatch r="G4306"/>
    <cellWatch r="G4307"/>
    <cellWatch r="G4308"/>
    <cellWatch r="G4309"/>
    <cellWatch r="G4310"/>
    <cellWatch r="G4311"/>
    <cellWatch r="G4312"/>
    <cellWatch r="G4313"/>
    <cellWatch r="G4314"/>
    <cellWatch r="G4315"/>
    <cellWatch r="G4316"/>
    <cellWatch r="G4317"/>
    <cellWatch r="G4318"/>
    <cellWatch r="G4319"/>
    <cellWatch r="G4320"/>
    <cellWatch r="G4321"/>
    <cellWatch r="G4322"/>
    <cellWatch r="G4323"/>
    <cellWatch r="G4324"/>
    <cellWatch r="G4325"/>
    <cellWatch r="G4326"/>
    <cellWatch r="G4327"/>
    <cellWatch r="G4328"/>
    <cellWatch r="G4329"/>
    <cellWatch r="G4330"/>
    <cellWatch r="G4331"/>
    <cellWatch r="G4332"/>
    <cellWatch r="G4333"/>
    <cellWatch r="G4334"/>
    <cellWatch r="G4335"/>
    <cellWatch r="G4336"/>
    <cellWatch r="G4337"/>
    <cellWatch r="G4338"/>
    <cellWatch r="G4339"/>
    <cellWatch r="G4340"/>
    <cellWatch r="G4341"/>
    <cellWatch r="G4342"/>
    <cellWatch r="G4343"/>
    <cellWatch r="G4344"/>
    <cellWatch r="G4345"/>
    <cellWatch r="G4346"/>
    <cellWatch r="G4347"/>
    <cellWatch r="G4348"/>
    <cellWatch r="G4349"/>
    <cellWatch r="G4350"/>
    <cellWatch r="G4351"/>
    <cellWatch r="G4352"/>
    <cellWatch r="G4353"/>
    <cellWatch r="G4354"/>
    <cellWatch r="G4355"/>
    <cellWatch r="G4356"/>
    <cellWatch r="G4357"/>
    <cellWatch r="G4358"/>
    <cellWatch r="G4359"/>
    <cellWatch r="G4360"/>
    <cellWatch r="G4361"/>
    <cellWatch r="G4362"/>
    <cellWatch r="G4363"/>
    <cellWatch r="G4364"/>
    <cellWatch r="G4365"/>
    <cellWatch r="G4366"/>
    <cellWatch r="G4367"/>
    <cellWatch r="G4368"/>
    <cellWatch r="G4369"/>
    <cellWatch r="G4370"/>
    <cellWatch r="G4371"/>
    <cellWatch r="G4372"/>
    <cellWatch r="G4373"/>
    <cellWatch r="G4374"/>
    <cellWatch r="G4375"/>
    <cellWatch r="G4376"/>
    <cellWatch r="G4377"/>
    <cellWatch r="G4378"/>
    <cellWatch r="G4379"/>
    <cellWatch r="G4380"/>
    <cellWatch r="G4381"/>
    <cellWatch r="G4382"/>
    <cellWatch r="G4383"/>
    <cellWatch r="G4384"/>
    <cellWatch r="G4385"/>
    <cellWatch r="G4386"/>
    <cellWatch r="G4387"/>
    <cellWatch r="G4388"/>
    <cellWatch r="G4389"/>
    <cellWatch r="G4390"/>
    <cellWatch r="G4391"/>
    <cellWatch r="G4392"/>
    <cellWatch r="G4393"/>
    <cellWatch r="G4394"/>
    <cellWatch r="G4395"/>
    <cellWatch r="G4396"/>
    <cellWatch r="G4397"/>
    <cellWatch r="G4398"/>
    <cellWatch r="G4399"/>
    <cellWatch r="G4400"/>
    <cellWatch r="G4401"/>
    <cellWatch r="G4402"/>
    <cellWatch r="G4403"/>
    <cellWatch r="G4404"/>
    <cellWatch r="G4405"/>
    <cellWatch r="G4406"/>
    <cellWatch r="G4407"/>
    <cellWatch r="G4408"/>
    <cellWatch r="G4409"/>
    <cellWatch r="G4410"/>
    <cellWatch r="G4411"/>
    <cellWatch r="G4412"/>
    <cellWatch r="G4413"/>
    <cellWatch r="G4414"/>
    <cellWatch r="G4415"/>
    <cellWatch r="G4416"/>
    <cellWatch r="G4417"/>
    <cellWatch r="G4418"/>
    <cellWatch r="G4419"/>
    <cellWatch r="G4420"/>
    <cellWatch r="G4421"/>
    <cellWatch r="G4422"/>
    <cellWatch r="G4423"/>
    <cellWatch r="G4424"/>
    <cellWatch r="G4425"/>
    <cellWatch r="G4426"/>
    <cellWatch r="G4427"/>
    <cellWatch r="G4428"/>
    <cellWatch r="G4429"/>
    <cellWatch r="G4430"/>
    <cellWatch r="G4431"/>
    <cellWatch r="G4432"/>
    <cellWatch r="G4433"/>
    <cellWatch r="G4434"/>
    <cellWatch r="G4435"/>
    <cellWatch r="G4436"/>
    <cellWatch r="G4437"/>
    <cellWatch r="G4438"/>
    <cellWatch r="G4439"/>
    <cellWatch r="G4440"/>
    <cellWatch r="G4441"/>
    <cellWatch r="G4442"/>
    <cellWatch r="G4443"/>
    <cellWatch r="G4444"/>
    <cellWatch r="G4445"/>
    <cellWatch r="G4446"/>
    <cellWatch r="G4447"/>
    <cellWatch r="G4448"/>
    <cellWatch r="G4449"/>
    <cellWatch r="G4450"/>
    <cellWatch r="G4451"/>
    <cellWatch r="G4452"/>
    <cellWatch r="G4453"/>
    <cellWatch r="G4454"/>
    <cellWatch r="G4455"/>
    <cellWatch r="G4456"/>
    <cellWatch r="G4457"/>
    <cellWatch r="G4458"/>
    <cellWatch r="G4459"/>
    <cellWatch r="G4460"/>
    <cellWatch r="G4461"/>
    <cellWatch r="G4462"/>
    <cellWatch r="G4463"/>
    <cellWatch r="G4464"/>
    <cellWatch r="G4465"/>
    <cellWatch r="G4466"/>
    <cellWatch r="G4467"/>
    <cellWatch r="G4468"/>
    <cellWatch r="G4469"/>
    <cellWatch r="G4470"/>
    <cellWatch r="G4471"/>
    <cellWatch r="G4472"/>
    <cellWatch r="G4473"/>
    <cellWatch r="G4474"/>
    <cellWatch r="G4475"/>
    <cellWatch r="G4476"/>
    <cellWatch r="G4477"/>
    <cellWatch r="G4478"/>
    <cellWatch r="G4479"/>
    <cellWatch r="G4480"/>
    <cellWatch r="G4481"/>
    <cellWatch r="G4482"/>
    <cellWatch r="G4483"/>
    <cellWatch r="G4484"/>
    <cellWatch r="G4485"/>
    <cellWatch r="G4486"/>
    <cellWatch r="G4487"/>
    <cellWatch r="G4488"/>
    <cellWatch r="G4489"/>
    <cellWatch r="G4490"/>
    <cellWatch r="G4491"/>
    <cellWatch r="G4492"/>
    <cellWatch r="G4493"/>
    <cellWatch r="G4494"/>
    <cellWatch r="G4495"/>
    <cellWatch r="G4496"/>
    <cellWatch r="G4497"/>
    <cellWatch r="G4498"/>
    <cellWatch r="G4499"/>
    <cellWatch r="G4500"/>
    <cellWatch r="G4501"/>
    <cellWatch r="G4502"/>
    <cellWatch r="G4503"/>
    <cellWatch r="G4504"/>
    <cellWatch r="G4505"/>
    <cellWatch r="G4506"/>
    <cellWatch r="G4507"/>
    <cellWatch r="G4508"/>
    <cellWatch r="G4509"/>
    <cellWatch r="G4510"/>
    <cellWatch r="G4511"/>
    <cellWatch r="G4512"/>
    <cellWatch r="G4513"/>
    <cellWatch r="G4514"/>
    <cellWatch r="G4515"/>
    <cellWatch r="G4516"/>
    <cellWatch r="G4517"/>
    <cellWatch r="G4518"/>
    <cellWatch r="G4519"/>
    <cellWatch r="G4520"/>
    <cellWatch r="G4521"/>
    <cellWatch r="G4522"/>
    <cellWatch r="G4523"/>
    <cellWatch r="G4524"/>
    <cellWatch r="G4525"/>
    <cellWatch r="G4526"/>
    <cellWatch r="G4527"/>
    <cellWatch r="G4528"/>
    <cellWatch r="G4529"/>
    <cellWatch r="G4530"/>
    <cellWatch r="G4531"/>
    <cellWatch r="G4532"/>
    <cellWatch r="G4533"/>
    <cellWatch r="G4534"/>
    <cellWatch r="G4535"/>
    <cellWatch r="G4536"/>
    <cellWatch r="G4537"/>
    <cellWatch r="G4538"/>
    <cellWatch r="G4539"/>
    <cellWatch r="G4540"/>
    <cellWatch r="G4541"/>
    <cellWatch r="G4542"/>
    <cellWatch r="G4543"/>
    <cellWatch r="G4544"/>
    <cellWatch r="G4545"/>
    <cellWatch r="G4546"/>
    <cellWatch r="G4547"/>
    <cellWatch r="G4548"/>
    <cellWatch r="G4549"/>
    <cellWatch r="G4550"/>
    <cellWatch r="G4551"/>
    <cellWatch r="G4552"/>
    <cellWatch r="G4553"/>
    <cellWatch r="G4554"/>
    <cellWatch r="G4555"/>
    <cellWatch r="G4556"/>
    <cellWatch r="G4557"/>
    <cellWatch r="G4558"/>
    <cellWatch r="G4559"/>
    <cellWatch r="G4560"/>
    <cellWatch r="G4561"/>
    <cellWatch r="G4562"/>
    <cellWatch r="G4563"/>
    <cellWatch r="G4564"/>
    <cellWatch r="G4565"/>
    <cellWatch r="G4566"/>
    <cellWatch r="G4567"/>
    <cellWatch r="G4568"/>
    <cellWatch r="G4569"/>
    <cellWatch r="G4570"/>
    <cellWatch r="G4571"/>
    <cellWatch r="G4572"/>
    <cellWatch r="G4573"/>
    <cellWatch r="G4574"/>
    <cellWatch r="G4575"/>
    <cellWatch r="G4576"/>
    <cellWatch r="G4577"/>
    <cellWatch r="G4578"/>
    <cellWatch r="G4579"/>
    <cellWatch r="G4580"/>
    <cellWatch r="G4581"/>
    <cellWatch r="G4582"/>
    <cellWatch r="G4583"/>
    <cellWatch r="G4584"/>
    <cellWatch r="G4585"/>
    <cellWatch r="G4586"/>
    <cellWatch r="G4587"/>
    <cellWatch r="G4588"/>
    <cellWatch r="G4589"/>
    <cellWatch r="G4590"/>
    <cellWatch r="G4591"/>
    <cellWatch r="G4592"/>
    <cellWatch r="G4593"/>
    <cellWatch r="G4594"/>
    <cellWatch r="G4595"/>
    <cellWatch r="G4596"/>
    <cellWatch r="G4597"/>
    <cellWatch r="G4598"/>
    <cellWatch r="G4599"/>
    <cellWatch r="G4600"/>
    <cellWatch r="G4601"/>
    <cellWatch r="G4602"/>
    <cellWatch r="G4603"/>
    <cellWatch r="G4604"/>
    <cellWatch r="G4605"/>
    <cellWatch r="G4606"/>
    <cellWatch r="G4607"/>
    <cellWatch r="G4608"/>
    <cellWatch r="G4609"/>
    <cellWatch r="G4610"/>
    <cellWatch r="G4611"/>
    <cellWatch r="G4612"/>
    <cellWatch r="G4613"/>
    <cellWatch r="G4614"/>
    <cellWatch r="G4615"/>
    <cellWatch r="G4616"/>
    <cellWatch r="G4617"/>
    <cellWatch r="G4618"/>
    <cellWatch r="G4619"/>
    <cellWatch r="G4620"/>
    <cellWatch r="G4621"/>
    <cellWatch r="G4622"/>
    <cellWatch r="G4623"/>
    <cellWatch r="G4624"/>
    <cellWatch r="G4625"/>
    <cellWatch r="G4626"/>
    <cellWatch r="G4627"/>
    <cellWatch r="G4628"/>
    <cellWatch r="G4629"/>
    <cellWatch r="G4630"/>
    <cellWatch r="G4631"/>
    <cellWatch r="G4632"/>
    <cellWatch r="G4633"/>
    <cellWatch r="G4634"/>
    <cellWatch r="G4635"/>
    <cellWatch r="G4636"/>
    <cellWatch r="G4637"/>
    <cellWatch r="G4638"/>
    <cellWatch r="G4639"/>
    <cellWatch r="G4640"/>
    <cellWatch r="G4641"/>
    <cellWatch r="G4642"/>
    <cellWatch r="G4643"/>
    <cellWatch r="G4644"/>
    <cellWatch r="G4645"/>
    <cellWatch r="G4646"/>
    <cellWatch r="G4647"/>
    <cellWatch r="G4648"/>
    <cellWatch r="G4649"/>
    <cellWatch r="G4650"/>
    <cellWatch r="G4651"/>
    <cellWatch r="G4652"/>
    <cellWatch r="G4653"/>
    <cellWatch r="G4654"/>
    <cellWatch r="G4655"/>
    <cellWatch r="G4656"/>
    <cellWatch r="G4657"/>
    <cellWatch r="G4658"/>
    <cellWatch r="G4659"/>
    <cellWatch r="G4660"/>
    <cellWatch r="G4661"/>
    <cellWatch r="G4662"/>
    <cellWatch r="G4663"/>
    <cellWatch r="G4664"/>
    <cellWatch r="G4665"/>
    <cellWatch r="G4666"/>
    <cellWatch r="G4667"/>
    <cellWatch r="G4668"/>
    <cellWatch r="G4669"/>
    <cellWatch r="G4670"/>
    <cellWatch r="G4671"/>
    <cellWatch r="G4672"/>
    <cellWatch r="G4673"/>
    <cellWatch r="G4674"/>
    <cellWatch r="G4675"/>
    <cellWatch r="G4676"/>
    <cellWatch r="G4677"/>
    <cellWatch r="G4678"/>
    <cellWatch r="G4679"/>
    <cellWatch r="G4680"/>
    <cellWatch r="G4681"/>
    <cellWatch r="G4682"/>
    <cellWatch r="G4683"/>
    <cellWatch r="G4684"/>
    <cellWatch r="G4685"/>
    <cellWatch r="G4686"/>
    <cellWatch r="G4687"/>
    <cellWatch r="G4688"/>
    <cellWatch r="G4689"/>
    <cellWatch r="G4690"/>
    <cellWatch r="G4691"/>
    <cellWatch r="G4692"/>
    <cellWatch r="G4693"/>
    <cellWatch r="G4694"/>
    <cellWatch r="G4695"/>
    <cellWatch r="G4696"/>
    <cellWatch r="G4697"/>
    <cellWatch r="G4698"/>
    <cellWatch r="G4699"/>
    <cellWatch r="G4700"/>
    <cellWatch r="G4701"/>
    <cellWatch r="G4702"/>
    <cellWatch r="G4703"/>
    <cellWatch r="G4704"/>
    <cellWatch r="G4705"/>
    <cellWatch r="G4706"/>
    <cellWatch r="G4707"/>
    <cellWatch r="G4708"/>
    <cellWatch r="G4709"/>
    <cellWatch r="G4710"/>
    <cellWatch r="G4711"/>
    <cellWatch r="G4712"/>
    <cellWatch r="G4713"/>
    <cellWatch r="G4714"/>
    <cellWatch r="G4715"/>
    <cellWatch r="G4716"/>
    <cellWatch r="G4717"/>
    <cellWatch r="G4718"/>
    <cellWatch r="G4719"/>
    <cellWatch r="G4720"/>
    <cellWatch r="G4721"/>
    <cellWatch r="G4722"/>
    <cellWatch r="G4723"/>
    <cellWatch r="G4724"/>
    <cellWatch r="G4725"/>
    <cellWatch r="G4726"/>
    <cellWatch r="G4727"/>
    <cellWatch r="G4728"/>
    <cellWatch r="G4729"/>
    <cellWatch r="G4730"/>
    <cellWatch r="G4731"/>
    <cellWatch r="G4732"/>
    <cellWatch r="G4733"/>
    <cellWatch r="G4734"/>
    <cellWatch r="G4735"/>
    <cellWatch r="G4736"/>
    <cellWatch r="G4737"/>
    <cellWatch r="G4738"/>
    <cellWatch r="G4739"/>
    <cellWatch r="G4740"/>
    <cellWatch r="G4741"/>
    <cellWatch r="G4742"/>
    <cellWatch r="G4743"/>
    <cellWatch r="G4744"/>
    <cellWatch r="G4745"/>
    <cellWatch r="G4746"/>
    <cellWatch r="G4747"/>
    <cellWatch r="G4748"/>
    <cellWatch r="G4749"/>
    <cellWatch r="G4750"/>
    <cellWatch r="G4751"/>
    <cellWatch r="G4752"/>
    <cellWatch r="G4753"/>
    <cellWatch r="G4754"/>
    <cellWatch r="G4755"/>
    <cellWatch r="G4756"/>
    <cellWatch r="G4757"/>
    <cellWatch r="G4758"/>
    <cellWatch r="G4759"/>
    <cellWatch r="G4760"/>
    <cellWatch r="G4761"/>
    <cellWatch r="G4762"/>
    <cellWatch r="G4763"/>
    <cellWatch r="G4764"/>
    <cellWatch r="G4765"/>
    <cellWatch r="G4766"/>
    <cellWatch r="G4767"/>
    <cellWatch r="G4768"/>
    <cellWatch r="G4769"/>
    <cellWatch r="G4770"/>
    <cellWatch r="G4771"/>
    <cellWatch r="G4772"/>
    <cellWatch r="G4773"/>
    <cellWatch r="G4774"/>
    <cellWatch r="G4775"/>
    <cellWatch r="G4776"/>
    <cellWatch r="G4777"/>
    <cellWatch r="G4778"/>
    <cellWatch r="G4779"/>
    <cellWatch r="G4780"/>
    <cellWatch r="G4781"/>
    <cellWatch r="G4782"/>
    <cellWatch r="G4783"/>
    <cellWatch r="G4784"/>
    <cellWatch r="G4785"/>
    <cellWatch r="G4786"/>
    <cellWatch r="G4787"/>
    <cellWatch r="G4788"/>
    <cellWatch r="G4789"/>
    <cellWatch r="G4790"/>
    <cellWatch r="G4791"/>
    <cellWatch r="G4792"/>
    <cellWatch r="G4793"/>
    <cellWatch r="G4794"/>
    <cellWatch r="G4795"/>
    <cellWatch r="G4796"/>
    <cellWatch r="G4797"/>
    <cellWatch r="G4798"/>
    <cellWatch r="G4799"/>
    <cellWatch r="G4800"/>
    <cellWatch r="G4801"/>
    <cellWatch r="G4802"/>
    <cellWatch r="G4803"/>
    <cellWatch r="G4804"/>
    <cellWatch r="G4805"/>
    <cellWatch r="G4806"/>
    <cellWatch r="G4807"/>
    <cellWatch r="G4808"/>
    <cellWatch r="G4809"/>
    <cellWatch r="G4810"/>
    <cellWatch r="G4811"/>
    <cellWatch r="G4812"/>
    <cellWatch r="G4813"/>
    <cellWatch r="G4814"/>
    <cellWatch r="G4815"/>
    <cellWatch r="G4816"/>
    <cellWatch r="G4817"/>
    <cellWatch r="G4818"/>
    <cellWatch r="G4819"/>
    <cellWatch r="G4820"/>
    <cellWatch r="G4821"/>
    <cellWatch r="G4822"/>
    <cellWatch r="G4823"/>
    <cellWatch r="G4824"/>
    <cellWatch r="G4825"/>
    <cellWatch r="G4826"/>
    <cellWatch r="G4827"/>
    <cellWatch r="G4828"/>
    <cellWatch r="G4829"/>
    <cellWatch r="G4830"/>
    <cellWatch r="G4831"/>
    <cellWatch r="G4832"/>
    <cellWatch r="G4833"/>
    <cellWatch r="G4834"/>
    <cellWatch r="G4835"/>
    <cellWatch r="G4836"/>
    <cellWatch r="G4837"/>
    <cellWatch r="G4838"/>
    <cellWatch r="G4839"/>
    <cellWatch r="G4840"/>
    <cellWatch r="G4841"/>
    <cellWatch r="G4842"/>
    <cellWatch r="G4843"/>
    <cellWatch r="G4844"/>
    <cellWatch r="G4845"/>
    <cellWatch r="G4846"/>
    <cellWatch r="G4847"/>
    <cellWatch r="G4848"/>
    <cellWatch r="G4849"/>
    <cellWatch r="G4850"/>
    <cellWatch r="G4851"/>
    <cellWatch r="G4852"/>
    <cellWatch r="G4853"/>
    <cellWatch r="G4854"/>
    <cellWatch r="G4855"/>
    <cellWatch r="G4856"/>
    <cellWatch r="G4857"/>
    <cellWatch r="G4858"/>
    <cellWatch r="G4859"/>
    <cellWatch r="G4860"/>
    <cellWatch r="G4861"/>
    <cellWatch r="G4862"/>
    <cellWatch r="G4863"/>
    <cellWatch r="G4864"/>
    <cellWatch r="G4865"/>
    <cellWatch r="G4866"/>
    <cellWatch r="G4867"/>
    <cellWatch r="G4868"/>
    <cellWatch r="G4869"/>
    <cellWatch r="G4870"/>
    <cellWatch r="G4871"/>
    <cellWatch r="G4872"/>
    <cellWatch r="G4873"/>
    <cellWatch r="G4874"/>
    <cellWatch r="G4875"/>
    <cellWatch r="G4876"/>
    <cellWatch r="G4877"/>
    <cellWatch r="G4878"/>
    <cellWatch r="G4879"/>
    <cellWatch r="G4880"/>
    <cellWatch r="G4881"/>
    <cellWatch r="G4882"/>
    <cellWatch r="G4883"/>
    <cellWatch r="G4884"/>
    <cellWatch r="G4885"/>
    <cellWatch r="G4886"/>
    <cellWatch r="G4887"/>
    <cellWatch r="G4888"/>
    <cellWatch r="G4889"/>
    <cellWatch r="G4890"/>
    <cellWatch r="G4891"/>
    <cellWatch r="G4892"/>
    <cellWatch r="G4893"/>
    <cellWatch r="G4894"/>
    <cellWatch r="G4895"/>
    <cellWatch r="G4896"/>
    <cellWatch r="G4897"/>
    <cellWatch r="G4898"/>
    <cellWatch r="G4899"/>
    <cellWatch r="G4900"/>
    <cellWatch r="G4901"/>
    <cellWatch r="G4902"/>
    <cellWatch r="G4903"/>
    <cellWatch r="G4904"/>
    <cellWatch r="G4905"/>
    <cellWatch r="G4906"/>
    <cellWatch r="G4907"/>
    <cellWatch r="G4908"/>
    <cellWatch r="G4909"/>
    <cellWatch r="G4910"/>
    <cellWatch r="G4911"/>
    <cellWatch r="G4912"/>
    <cellWatch r="G4913"/>
    <cellWatch r="G4914"/>
    <cellWatch r="G4915"/>
    <cellWatch r="G4916"/>
    <cellWatch r="G4917"/>
    <cellWatch r="G4918"/>
    <cellWatch r="G4919"/>
    <cellWatch r="G4920"/>
    <cellWatch r="G4921"/>
    <cellWatch r="G4922"/>
    <cellWatch r="G4923"/>
    <cellWatch r="G4924"/>
    <cellWatch r="G4925"/>
    <cellWatch r="G4926"/>
    <cellWatch r="G4927"/>
    <cellWatch r="G4928"/>
    <cellWatch r="G4929"/>
    <cellWatch r="G4930"/>
    <cellWatch r="G4931"/>
    <cellWatch r="G4932"/>
    <cellWatch r="G4933"/>
    <cellWatch r="G4934"/>
    <cellWatch r="G4935"/>
    <cellWatch r="G4936"/>
    <cellWatch r="G4937"/>
    <cellWatch r="G4938"/>
    <cellWatch r="G4939"/>
    <cellWatch r="G4940"/>
    <cellWatch r="G4941"/>
    <cellWatch r="G4942"/>
    <cellWatch r="G4943"/>
    <cellWatch r="G4944"/>
    <cellWatch r="G4945"/>
    <cellWatch r="G4946"/>
    <cellWatch r="G4947"/>
    <cellWatch r="G4948"/>
    <cellWatch r="G4949"/>
    <cellWatch r="G4950"/>
    <cellWatch r="G4951"/>
    <cellWatch r="G4952"/>
    <cellWatch r="G4953"/>
    <cellWatch r="G4954"/>
    <cellWatch r="G4955"/>
    <cellWatch r="G4956"/>
    <cellWatch r="G4957"/>
    <cellWatch r="G4958"/>
    <cellWatch r="G4959"/>
    <cellWatch r="G4960"/>
    <cellWatch r="G4961"/>
    <cellWatch r="G4962"/>
    <cellWatch r="G4963"/>
    <cellWatch r="G4964"/>
    <cellWatch r="G4965"/>
    <cellWatch r="G4966"/>
    <cellWatch r="G4967"/>
    <cellWatch r="G4968"/>
    <cellWatch r="G4969"/>
    <cellWatch r="G4970"/>
    <cellWatch r="G4971"/>
    <cellWatch r="G4972"/>
    <cellWatch r="G4973"/>
    <cellWatch r="G4974"/>
    <cellWatch r="G4975"/>
    <cellWatch r="G4976"/>
    <cellWatch r="G4977"/>
    <cellWatch r="G4978"/>
    <cellWatch r="G4979"/>
    <cellWatch r="G4980"/>
    <cellWatch r="G4981"/>
    <cellWatch r="G4982"/>
    <cellWatch r="G4983"/>
    <cellWatch r="G4984"/>
    <cellWatch r="G4985"/>
    <cellWatch r="G4986"/>
    <cellWatch r="G4987"/>
    <cellWatch r="G4988"/>
    <cellWatch r="G4989"/>
    <cellWatch r="G4990"/>
    <cellWatch r="G4991"/>
    <cellWatch r="G4992"/>
    <cellWatch r="G4993"/>
    <cellWatch r="G4994"/>
    <cellWatch r="G4995"/>
    <cellWatch r="G4996"/>
    <cellWatch r="G4997"/>
    <cellWatch r="G4998"/>
    <cellWatch r="G4999"/>
    <cellWatch r="G5000"/>
    <cellWatch r="G5001"/>
    <cellWatch r="G5002"/>
    <cellWatch r="G5003"/>
    <cellWatch r="G5004"/>
    <cellWatch r="G5005"/>
    <cellWatch r="G5006"/>
    <cellWatch r="G5007"/>
    <cellWatch r="G5008"/>
    <cellWatch r="G5009"/>
    <cellWatch r="G5010"/>
    <cellWatch r="G5011"/>
    <cellWatch r="G5012"/>
    <cellWatch r="G5013"/>
    <cellWatch r="G5014"/>
    <cellWatch r="G5015"/>
    <cellWatch r="G5016"/>
    <cellWatch r="G5017"/>
    <cellWatch r="G5018"/>
    <cellWatch r="G5019"/>
    <cellWatch r="G5020"/>
    <cellWatch r="G5021"/>
    <cellWatch r="G5022"/>
    <cellWatch r="G5023"/>
    <cellWatch r="G5024"/>
    <cellWatch r="G5025"/>
    <cellWatch r="G5026"/>
    <cellWatch r="G5027"/>
    <cellWatch r="G5028"/>
    <cellWatch r="G5029"/>
    <cellWatch r="G5030"/>
    <cellWatch r="G5031"/>
    <cellWatch r="G5032"/>
    <cellWatch r="G5033"/>
    <cellWatch r="G5034"/>
    <cellWatch r="G5035"/>
    <cellWatch r="G5036"/>
    <cellWatch r="G5037"/>
    <cellWatch r="G5038"/>
    <cellWatch r="G5039"/>
    <cellWatch r="G5040"/>
    <cellWatch r="G5041"/>
    <cellWatch r="G5042"/>
    <cellWatch r="G5043"/>
    <cellWatch r="G5044"/>
    <cellWatch r="G5045"/>
    <cellWatch r="G5046"/>
    <cellWatch r="G5047"/>
    <cellWatch r="G5048"/>
    <cellWatch r="G5049"/>
    <cellWatch r="G5050"/>
    <cellWatch r="G5051"/>
    <cellWatch r="G5052"/>
    <cellWatch r="G5053"/>
    <cellWatch r="G5054"/>
    <cellWatch r="G5055"/>
    <cellWatch r="G5056"/>
    <cellWatch r="G5057"/>
    <cellWatch r="G5058"/>
    <cellWatch r="G5059"/>
    <cellWatch r="G5060"/>
    <cellWatch r="G5061"/>
    <cellWatch r="G5062"/>
    <cellWatch r="G5063"/>
    <cellWatch r="G5064"/>
    <cellWatch r="G5065"/>
    <cellWatch r="G5066"/>
    <cellWatch r="G5067"/>
    <cellWatch r="G5068"/>
    <cellWatch r="G5069"/>
    <cellWatch r="G5070"/>
    <cellWatch r="G5071"/>
    <cellWatch r="G5072"/>
    <cellWatch r="G5073"/>
    <cellWatch r="G5074"/>
    <cellWatch r="G5075"/>
    <cellWatch r="G5076"/>
    <cellWatch r="G5077"/>
    <cellWatch r="G5078"/>
    <cellWatch r="G5079"/>
    <cellWatch r="G5080"/>
    <cellWatch r="G5081"/>
    <cellWatch r="G5082"/>
    <cellWatch r="G5083"/>
    <cellWatch r="G5084"/>
    <cellWatch r="G5085"/>
    <cellWatch r="G5086"/>
    <cellWatch r="G5087"/>
    <cellWatch r="G5088"/>
    <cellWatch r="G5089"/>
    <cellWatch r="G5090"/>
    <cellWatch r="G5091"/>
    <cellWatch r="G5092"/>
    <cellWatch r="G5093"/>
    <cellWatch r="G5094"/>
    <cellWatch r="G5095"/>
    <cellWatch r="G5096"/>
    <cellWatch r="G5097"/>
    <cellWatch r="G5098"/>
    <cellWatch r="G5099"/>
    <cellWatch r="G5100"/>
    <cellWatch r="G5101"/>
    <cellWatch r="G5102"/>
    <cellWatch r="G5103"/>
    <cellWatch r="G5104"/>
    <cellWatch r="G5105"/>
    <cellWatch r="G5106"/>
    <cellWatch r="G5107"/>
    <cellWatch r="G5108"/>
    <cellWatch r="G5109"/>
    <cellWatch r="G5110"/>
    <cellWatch r="G5111"/>
    <cellWatch r="G5112"/>
    <cellWatch r="G5113"/>
    <cellWatch r="G5114"/>
    <cellWatch r="G5115"/>
    <cellWatch r="G5116"/>
    <cellWatch r="G5117"/>
    <cellWatch r="G5118"/>
    <cellWatch r="G5119"/>
    <cellWatch r="G5120"/>
    <cellWatch r="G5121"/>
    <cellWatch r="G5122"/>
    <cellWatch r="G5123"/>
    <cellWatch r="G5124"/>
    <cellWatch r="G5125"/>
    <cellWatch r="G5126"/>
    <cellWatch r="G5127"/>
    <cellWatch r="G5128"/>
    <cellWatch r="G5129"/>
    <cellWatch r="G5130"/>
    <cellWatch r="G5131"/>
    <cellWatch r="G5132"/>
    <cellWatch r="G5133"/>
    <cellWatch r="G5134"/>
    <cellWatch r="G5135"/>
    <cellWatch r="G5136"/>
    <cellWatch r="G5137"/>
    <cellWatch r="G5138"/>
    <cellWatch r="G5139"/>
    <cellWatch r="G5140"/>
    <cellWatch r="G5141"/>
    <cellWatch r="G5142"/>
    <cellWatch r="G5143"/>
    <cellWatch r="G5144"/>
    <cellWatch r="G5145"/>
    <cellWatch r="G5146"/>
    <cellWatch r="G5147"/>
    <cellWatch r="G5148"/>
    <cellWatch r="G5149"/>
    <cellWatch r="G5150"/>
    <cellWatch r="G5151"/>
    <cellWatch r="G5152"/>
    <cellWatch r="G5153"/>
    <cellWatch r="G5154"/>
    <cellWatch r="G5155"/>
    <cellWatch r="G5156"/>
    <cellWatch r="G5157"/>
    <cellWatch r="G5158"/>
    <cellWatch r="G5159"/>
    <cellWatch r="G5160"/>
    <cellWatch r="G5161"/>
    <cellWatch r="G5162"/>
    <cellWatch r="G5163"/>
    <cellWatch r="G5164"/>
    <cellWatch r="G5165"/>
    <cellWatch r="G5166"/>
    <cellWatch r="G5167"/>
    <cellWatch r="G5168"/>
    <cellWatch r="G5169"/>
    <cellWatch r="G5170"/>
    <cellWatch r="G5171"/>
    <cellWatch r="G5172"/>
    <cellWatch r="G5173"/>
    <cellWatch r="G5174"/>
    <cellWatch r="G5175"/>
    <cellWatch r="G5176"/>
    <cellWatch r="G5177"/>
    <cellWatch r="G5178"/>
    <cellWatch r="G5179"/>
    <cellWatch r="G5180"/>
    <cellWatch r="G5181"/>
    <cellWatch r="G5182"/>
    <cellWatch r="G5183"/>
    <cellWatch r="G5184"/>
    <cellWatch r="G5185"/>
    <cellWatch r="G5186"/>
    <cellWatch r="G5187"/>
    <cellWatch r="G5188"/>
    <cellWatch r="G5189"/>
    <cellWatch r="G5190"/>
    <cellWatch r="G5191"/>
    <cellWatch r="G5192"/>
    <cellWatch r="G5193"/>
    <cellWatch r="G5194"/>
    <cellWatch r="G5195"/>
    <cellWatch r="G5196"/>
    <cellWatch r="G5197"/>
    <cellWatch r="G5198"/>
    <cellWatch r="G5199"/>
    <cellWatch r="G5200"/>
    <cellWatch r="G5201"/>
    <cellWatch r="G5202"/>
    <cellWatch r="G5203"/>
    <cellWatch r="G5204"/>
    <cellWatch r="G5205"/>
    <cellWatch r="G5206"/>
    <cellWatch r="G5207"/>
    <cellWatch r="G5208"/>
    <cellWatch r="G5209"/>
    <cellWatch r="G5210"/>
    <cellWatch r="G5211"/>
    <cellWatch r="G5212"/>
    <cellWatch r="G5213"/>
    <cellWatch r="G5214"/>
    <cellWatch r="G5215"/>
    <cellWatch r="G5216"/>
    <cellWatch r="G5217"/>
    <cellWatch r="G5218"/>
    <cellWatch r="G5219"/>
    <cellWatch r="G5220"/>
    <cellWatch r="G5221"/>
    <cellWatch r="G5222"/>
    <cellWatch r="G5223"/>
    <cellWatch r="G5224"/>
    <cellWatch r="G5225"/>
    <cellWatch r="G5226"/>
    <cellWatch r="G5227"/>
    <cellWatch r="G5228"/>
    <cellWatch r="G5229"/>
    <cellWatch r="G5230"/>
    <cellWatch r="G5231"/>
    <cellWatch r="G5232"/>
    <cellWatch r="G5233"/>
    <cellWatch r="G5234"/>
    <cellWatch r="G5235"/>
    <cellWatch r="G5236"/>
    <cellWatch r="G5237"/>
    <cellWatch r="G5238"/>
    <cellWatch r="G5239"/>
    <cellWatch r="G5240"/>
    <cellWatch r="G5241"/>
    <cellWatch r="G5242"/>
    <cellWatch r="G5243"/>
    <cellWatch r="G5244"/>
    <cellWatch r="G5245"/>
    <cellWatch r="G5246"/>
    <cellWatch r="G5247"/>
    <cellWatch r="G5248"/>
    <cellWatch r="G5249"/>
    <cellWatch r="G5250"/>
    <cellWatch r="G5251"/>
    <cellWatch r="G5252"/>
    <cellWatch r="G5253"/>
    <cellWatch r="G5254"/>
    <cellWatch r="G5255"/>
    <cellWatch r="G5256"/>
    <cellWatch r="G5257"/>
    <cellWatch r="G5258"/>
    <cellWatch r="G5259"/>
    <cellWatch r="G5260"/>
    <cellWatch r="G5261"/>
    <cellWatch r="G5262"/>
    <cellWatch r="G5263"/>
    <cellWatch r="G5264"/>
    <cellWatch r="G5265"/>
    <cellWatch r="G5266"/>
    <cellWatch r="G5267"/>
    <cellWatch r="G5268"/>
    <cellWatch r="G5269"/>
    <cellWatch r="G5270"/>
    <cellWatch r="G5271"/>
    <cellWatch r="G5272"/>
    <cellWatch r="G5273"/>
    <cellWatch r="G5274"/>
    <cellWatch r="G5275"/>
    <cellWatch r="G5276"/>
    <cellWatch r="G5277"/>
    <cellWatch r="G5278"/>
    <cellWatch r="G5279"/>
    <cellWatch r="G5280"/>
    <cellWatch r="G5281"/>
    <cellWatch r="G5282"/>
    <cellWatch r="G5283"/>
    <cellWatch r="G5284"/>
    <cellWatch r="G5285"/>
    <cellWatch r="G5286"/>
    <cellWatch r="G5287"/>
    <cellWatch r="G5288"/>
    <cellWatch r="G5289"/>
    <cellWatch r="G5290"/>
    <cellWatch r="G5291"/>
    <cellWatch r="G5292"/>
    <cellWatch r="G5293"/>
    <cellWatch r="G5294"/>
    <cellWatch r="G5295"/>
    <cellWatch r="G5296"/>
    <cellWatch r="G5297"/>
    <cellWatch r="G5298"/>
    <cellWatch r="G5299"/>
    <cellWatch r="G5300"/>
    <cellWatch r="G5301"/>
    <cellWatch r="G5302"/>
    <cellWatch r="G5303"/>
    <cellWatch r="G5304"/>
    <cellWatch r="G5305"/>
    <cellWatch r="G5306"/>
    <cellWatch r="G5307"/>
    <cellWatch r="G5308"/>
    <cellWatch r="G5309"/>
    <cellWatch r="G5310"/>
    <cellWatch r="G5311"/>
    <cellWatch r="G5312"/>
    <cellWatch r="G5313"/>
    <cellWatch r="G5314"/>
    <cellWatch r="G5315"/>
    <cellWatch r="G5316"/>
    <cellWatch r="G5317"/>
    <cellWatch r="G5318"/>
    <cellWatch r="G5319"/>
    <cellWatch r="G5320"/>
    <cellWatch r="G5321"/>
    <cellWatch r="G5322"/>
    <cellWatch r="G5323"/>
    <cellWatch r="G5324"/>
    <cellWatch r="G5325"/>
    <cellWatch r="G5326"/>
    <cellWatch r="G5327"/>
    <cellWatch r="G5328"/>
    <cellWatch r="G5329"/>
    <cellWatch r="G5330"/>
    <cellWatch r="G5331"/>
    <cellWatch r="G5332"/>
    <cellWatch r="G5333"/>
    <cellWatch r="G5334"/>
    <cellWatch r="G5335"/>
    <cellWatch r="G5336"/>
    <cellWatch r="G5337"/>
    <cellWatch r="G5338"/>
    <cellWatch r="G5339"/>
    <cellWatch r="G5340"/>
    <cellWatch r="G5341"/>
    <cellWatch r="G5342"/>
    <cellWatch r="G5343"/>
    <cellWatch r="G5344"/>
    <cellWatch r="G5345"/>
    <cellWatch r="G5346"/>
    <cellWatch r="G5347"/>
    <cellWatch r="G5348"/>
    <cellWatch r="G5349"/>
    <cellWatch r="G5350"/>
    <cellWatch r="G5351"/>
    <cellWatch r="G5352"/>
    <cellWatch r="G5353"/>
    <cellWatch r="G5354"/>
    <cellWatch r="G5355"/>
    <cellWatch r="G5356"/>
    <cellWatch r="G5357"/>
    <cellWatch r="G5358"/>
    <cellWatch r="G5359"/>
    <cellWatch r="G5360"/>
    <cellWatch r="G5361"/>
    <cellWatch r="G5362"/>
    <cellWatch r="G5363"/>
    <cellWatch r="G5364"/>
    <cellWatch r="G5365"/>
    <cellWatch r="G5366"/>
    <cellWatch r="G5367"/>
    <cellWatch r="G5368"/>
    <cellWatch r="G5369"/>
    <cellWatch r="G5370"/>
    <cellWatch r="G5371"/>
    <cellWatch r="G5372"/>
    <cellWatch r="G5373"/>
    <cellWatch r="G5374"/>
    <cellWatch r="G5375"/>
    <cellWatch r="G5376"/>
    <cellWatch r="G5377"/>
    <cellWatch r="G5378"/>
    <cellWatch r="G5379"/>
    <cellWatch r="G5380"/>
    <cellWatch r="G5381"/>
    <cellWatch r="G5382"/>
    <cellWatch r="G5383"/>
    <cellWatch r="G5384"/>
    <cellWatch r="G5385"/>
    <cellWatch r="G5386"/>
    <cellWatch r="G5387"/>
    <cellWatch r="G5388"/>
    <cellWatch r="G5389"/>
    <cellWatch r="G5390"/>
    <cellWatch r="G5391"/>
    <cellWatch r="G5392"/>
    <cellWatch r="G5393"/>
    <cellWatch r="G5394"/>
    <cellWatch r="G5395"/>
    <cellWatch r="G5396"/>
    <cellWatch r="G5397"/>
    <cellWatch r="G5398"/>
    <cellWatch r="G5399"/>
    <cellWatch r="G5400"/>
    <cellWatch r="G5401"/>
    <cellWatch r="G5402"/>
    <cellWatch r="G5403"/>
    <cellWatch r="G5404"/>
    <cellWatch r="G5405"/>
    <cellWatch r="G5406"/>
    <cellWatch r="G5407"/>
    <cellWatch r="G5408"/>
    <cellWatch r="G5409"/>
    <cellWatch r="G5410"/>
    <cellWatch r="G5411"/>
    <cellWatch r="G5412"/>
    <cellWatch r="G5413"/>
    <cellWatch r="G5414"/>
    <cellWatch r="G5415"/>
    <cellWatch r="G5416"/>
    <cellWatch r="G5417"/>
    <cellWatch r="G5418"/>
    <cellWatch r="G5419"/>
    <cellWatch r="G5420"/>
    <cellWatch r="G5421"/>
    <cellWatch r="G5422"/>
    <cellWatch r="G5423"/>
    <cellWatch r="G5424"/>
    <cellWatch r="G5425"/>
    <cellWatch r="G5426"/>
    <cellWatch r="G5427"/>
    <cellWatch r="G5428"/>
    <cellWatch r="G5429"/>
    <cellWatch r="G5430"/>
    <cellWatch r="G5431"/>
    <cellWatch r="G5432"/>
    <cellWatch r="G5433"/>
    <cellWatch r="G5434"/>
    <cellWatch r="G5435"/>
    <cellWatch r="G5436"/>
    <cellWatch r="G5437"/>
    <cellWatch r="G5438"/>
    <cellWatch r="G5439"/>
    <cellWatch r="G5440"/>
    <cellWatch r="G5441"/>
    <cellWatch r="G5442"/>
    <cellWatch r="G5443"/>
    <cellWatch r="G5444"/>
    <cellWatch r="G5445"/>
    <cellWatch r="G5446"/>
    <cellWatch r="G5447"/>
    <cellWatch r="G5448"/>
    <cellWatch r="G5449"/>
    <cellWatch r="G5450"/>
    <cellWatch r="G5451"/>
    <cellWatch r="G5452"/>
    <cellWatch r="G5453"/>
    <cellWatch r="G5454"/>
    <cellWatch r="G5455"/>
    <cellWatch r="G5456"/>
    <cellWatch r="G5457"/>
    <cellWatch r="G5458"/>
    <cellWatch r="G5459"/>
    <cellWatch r="G5460"/>
    <cellWatch r="G5461"/>
    <cellWatch r="G5462"/>
    <cellWatch r="G5463"/>
    <cellWatch r="G5464"/>
    <cellWatch r="G5465"/>
    <cellWatch r="G5466"/>
    <cellWatch r="G5467"/>
    <cellWatch r="G5468"/>
    <cellWatch r="G5469"/>
    <cellWatch r="G5470"/>
    <cellWatch r="G5471"/>
    <cellWatch r="G5472"/>
    <cellWatch r="G5473"/>
    <cellWatch r="G5474"/>
    <cellWatch r="G5475"/>
    <cellWatch r="G5476"/>
    <cellWatch r="G5477"/>
    <cellWatch r="G5478"/>
    <cellWatch r="G5479"/>
    <cellWatch r="G5480"/>
    <cellWatch r="G5481"/>
    <cellWatch r="G5482"/>
    <cellWatch r="G5483"/>
    <cellWatch r="G5484"/>
    <cellWatch r="G5485"/>
    <cellWatch r="G5486"/>
    <cellWatch r="G5487"/>
    <cellWatch r="G5488"/>
    <cellWatch r="G5489"/>
    <cellWatch r="G5490"/>
    <cellWatch r="G5491"/>
    <cellWatch r="G5492"/>
    <cellWatch r="G5493"/>
    <cellWatch r="G5494"/>
    <cellWatch r="G5495"/>
    <cellWatch r="G5496"/>
    <cellWatch r="G5497"/>
    <cellWatch r="G5498"/>
    <cellWatch r="G5499"/>
    <cellWatch r="G5500"/>
    <cellWatch r="G5501"/>
    <cellWatch r="G5502"/>
    <cellWatch r="G5503"/>
    <cellWatch r="G5504"/>
    <cellWatch r="G5505"/>
    <cellWatch r="G5506"/>
    <cellWatch r="G5507"/>
    <cellWatch r="G5508"/>
    <cellWatch r="G5509"/>
    <cellWatch r="G5510"/>
    <cellWatch r="G5511"/>
    <cellWatch r="G5512"/>
    <cellWatch r="G5513"/>
    <cellWatch r="G5514"/>
    <cellWatch r="G5515"/>
    <cellWatch r="G5516"/>
    <cellWatch r="G5517"/>
    <cellWatch r="G5518"/>
    <cellWatch r="G5519"/>
    <cellWatch r="G5520"/>
    <cellWatch r="G5521"/>
    <cellWatch r="G5522"/>
    <cellWatch r="G5523"/>
    <cellWatch r="G5524"/>
    <cellWatch r="G5525"/>
    <cellWatch r="G5526"/>
    <cellWatch r="G5527"/>
    <cellWatch r="G5528"/>
    <cellWatch r="G5529"/>
    <cellWatch r="G5530"/>
    <cellWatch r="G5531"/>
    <cellWatch r="G5532"/>
    <cellWatch r="G5533"/>
    <cellWatch r="G5534"/>
    <cellWatch r="G5535"/>
    <cellWatch r="G5536"/>
    <cellWatch r="G5537"/>
    <cellWatch r="G5538"/>
    <cellWatch r="G5539"/>
    <cellWatch r="G5540"/>
    <cellWatch r="G5541"/>
    <cellWatch r="G5542"/>
    <cellWatch r="G5543"/>
    <cellWatch r="G5544"/>
    <cellWatch r="G5545"/>
    <cellWatch r="G5546"/>
    <cellWatch r="G5547"/>
    <cellWatch r="G5548"/>
    <cellWatch r="G5549"/>
    <cellWatch r="G5550"/>
    <cellWatch r="G5551"/>
    <cellWatch r="G5552"/>
    <cellWatch r="G5553"/>
    <cellWatch r="G5554"/>
    <cellWatch r="G5555"/>
    <cellWatch r="G5556"/>
    <cellWatch r="G5557"/>
    <cellWatch r="G5558"/>
    <cellWatch r="G5559"/>
    <cellWatch r="G5560"/>
    <cellWatch r="G5561"/>
    <cellWatch r="G5562"/>
    <cellWatch r="G5563"/>
    <cellWatch r="G5564"/>
    <cellWatch r="G5565"/>
    <cellWatch r="G5566"/>
    <cellWatch r="G5567"/>
    <cellWatch r="G5568"/>
    <cellWatch r="G5569"/>
    <cellWatch r="G5570"/>
    <cellWatch r="G5571"/>
    <cellWatch r="G5572"/>
    <cellWatch r="G5573"/>
    <cellWatch r="G5574"/>
    <cellWatch r="G5575"/>
    <cellWatch r="G5576"/>
    <cellWatch r="G5577"/>
    <cellWatch r="G5578"/>
    <cellWatch r="G5579"/>
    <cellWatch r="G5580"/>
    <cellWatch r="G5581"/>
    <cellWatch r="G5582"/>
    <cellWatch r="G5583"/>
    <cellWatch r="G5584"/>
    <cellWatch r="G5585"/>
    <cellWatch r="G5586"/>
    <cellWatch r="G5587"/>
    <cellWatch r="G5588"/>
    <cellWatch r="G5589"/>
    <cellWatch r="G5590"/>
    <cellWatch r="G5591"/>
    <cellWatch r="G5592"/>
    <cellWatch r="G5593"/>
    <cellWatch r="G5594"/>
    <cellWatch r="G5595"/>
    <cellWatch r="G5596"/>
    <cellWatch r="G5597"/>
    <cellWatch r="G5598"/>
    <cellWatch r="G5599"/>
    <cellWatch r="G5600"/>
    <cellWatch r="G5601"/>
    <cellWatch r="G5602"/>
    <cellWatch r="G5603"/>
    <cellWatch r="G5604"/>
    <cellWatch r="G5605"/>
    <cellWatch r="G5606"/>
    <cellWatch r="G5607"/>
    <cellWatch r="G5608"/>
    <cellWatch r="G5609"/>
    <cellWatch r="G5610"/>
    <cellWatch r="G5611"/>
    <cellWatch r="G5612"/>
    <cellWatch r="G5613"/>
    <cellWatch r="G5614"/>
    <cellWatch r="G5615"/>
    <cellWatch r="G5616"/>
    <cellWatch r="G5617"/>
    <cellWatch r="G5618"/>
    <cellWatch r="G5619"/>
    <cellWatch r="G5620"/>
    <cellWatch r="G5621"/>
    <cellWatch r="G5622"/>
    <cellWatch r="G5623"/>
    <cellWatch r="G5624"/>
    <cellWatch r="G5625"/>
    <cellWatch r="G5626"/>
    <cellWatch r="G5627"/>
    <cellWatch r="G5628"/>
    <cellWatch r="G5629"/>
    <cellWatch r="G5630"/>
    <cellWatch r="G5631"/>
    <cellWatch r="G5632"/>
    <cellWatch r="G5633"/>
    <cellWatch r="G5634"/>
    <cellWatch r="G5635"/>
    <cellWatch r="G5636"/>
    <cellWatch r="G5637"/>
    <cellWatch r="G5638"/>
    <cellWatch r="G5639"/>
    <cellWatch r="G5640"/>
    <cellWatch r="G5641"/>
    <cellWatch r="G5642"/>
    <cellWatch r="G5643"/>
    <cellWatch r="G5644"/>
    <cellWatch r="G5645"/>
    <cellWatch r="G5646"/>
    <cellWatch r="G5647"/>
    <cellWatch r="G5648"/>
    <cellWatch r="G5649"/>
    <cellWatch r="G5650"/>
    <cellWatch r="G5651"/>
    <cellWatch r="G5652"/>
    <cellWatch r="G5653"/>
    <cellWatch r="G5654"/>
    <cellWatch r="G5655"/>
    <cellWatch r="G5656"/>
    <cellWatch r="G5657"/>
    <cellWatch r="G5658"/>
    <cellWatch r="G5659"/>
    <cellWatch r="G5660"/>
    <cellWatch r="G5661"/>
    <cellWatch r="G5662"/>
    <cellWatch r="G5663"/>
    <cellWatch r="G5664"/>
    <cellWatch r="G5665"/>
    <cellWatch r="G5666"/>
    <cellWatch r="G5667"/>
    <cellWatch r="G5668"/>
    <cellWatch r="G5669"/>
    <cellWatch r="G5670"/>
    <cellWatch r="G5671"/>
    <cellWatch r="G5672"/>
    <cellWatch r="G5673"/>
    <cellWatch r="G5674"/>
    <cellWatch r="G5675"/>
    <cellWatch r="G5676"/>
    <cellWatch r="G5677"/>
    <cellWatch r="G5678"/>
    <cellWatch r="G5679"/>
    <cellWatch r="G5680"/>
    <cellWatch r="G5681"/>
    <cellWatch r="G5682"/>
    <cellWatch r="G5683"/>
    <cellWatch r="G5684"/>
    <cellWatch r="G5685"/>
    <cellWatch r="G5686"/>
    <cellWatch r="G5687"/>
    <cellWatch r="G5688"/>
    <cellWatch r="G5689"/>
    <cellWatch r="G5690"/>
    <cellWatch r="G5691"/>
    <cellWatch r="G5692"/>
    <cellWatch r="G5693"/>
    <cellWatch r="G5694"/>
    <cellWatch r="G5695"/>
    <cellWatch r="G5696"/>
    <cellWatch r="G5697"/>
    <cellWatch r="G5698"/>
    <cellWatch r="G5699"/>
    <cellWatch r="G5700"/>
    <cellWatch r="G5701"/>
    <cellWatch r="G5702"/>
    <cellWatch r="G5703"/>
    <cellWatch r="G5704"/>
    <cellWatch r="G5705"/>
    <cellWatch r="G5706"/>
    <cellWatch r="G5707"/>
    <cellWatch r="G5708"/>
    <cellWatch r="G5709"/>
    <cellWatch r="G5710"/>
    <cellWatch r="G5711"/>
    <cellWatch r="G5712"/>
    <cellWatch r="G5713"/>
    <cellWatch r="G5714"/>
    <cellWatch r="G5715"/>
    <cellWatch r="G5716"/>
    <cellWatch r="G5717"/>
    <cellWatch r="G5718"/>
    <cellWatch r="G5719"/>
    <cellWatch r="G5720"/>
    <cellWatch r="G5721"/>
    <cellWatch r="G5722"/>
    <cellWatch r="G5723"/>
    <cellWatch r="G5724"/>
    <cellWatch r="G5725"/>
    <cellWatch r="G5726"/>
    <cellWatch r="G5727"/>
    <cellWatch r="G5728"/>
    <cellWatch r="G5729"/>
    <cellWatch r="G5730"/>
    <cellWatch r="G5731"/>
    <cellWatch r="G5732"/>
    <cellWatch r="G5733"/>
    <cellWatch r="G5734"/>
    <cellWatch r="G5735"/>
    <cellWatch r="G5736"/>
    <cellWatch r="G5737"/>
    <cellWatch r="G5738"/>
    <cellWatch r="G5739"/>
    <cellWatch r="G5740"/>
    <cellWatch r="G5741"/>
    <cellWatch r="G5742"/>
    <cellWatch r="G5743"/>
    <cellWatch r="G5744"/>
    <cellWatch r="G5745"/>
    <cellWatch r="G5746"/>
    <cellWatch r="G5747"/>
    <cellWatch r="G5748"/>
    <cellWatch r="G5749"/>
    <cellWatch r="G5750"/>
    <cellWatch r="G5751"/>
    <cellWatch r="G5752"/>
    <cellWatch r="G5753"/>
    <cellWatch r="G5754"/>
    <cellWatch r="G5755"/>
    <cellWatch r="G5756"/>
    <cellWatch r="G5757"/>
    <cellWatch r="G5758"/>
    <cellWatch r="G5759"/>
    <cellWatch r="G5760"/>
    <cellWatch r="G5761"/>
    <cellWatch r="G5762"/>
    <cellWatch r="G5763"/>
    <cellWatch r="G5764"/>
    <cellWatch r="G5765"/>
    <cellWatch r="G5766"/>
    <cellWatch r="G5767"/>
    <cellWatch r="G5768"/>
    <cellWatch r="G5769"/>
    <cellWatch r="G5770"/>
    <cellWatch r="G5771"/>
    <cellWatch r="G5772"/>
    <cellWatch r="G5773"/>
    <cellWatch r="G5774"/>
    <cellWatch r="G5775"/>
    <cellWatch r="G5776"/>
    <cellWatch r="G5777"/>
    <cellWatch r="G5778"/>
    <cellWatch r="G5779"/>
    <cellWatch r="G5780"/>
    <cellWatch r="G5781"/>
    <cellWatch r="G5782"/>
    <cellWatch r="G5783"/>
    <cellWatch r="G5784"/>
    <cellWatch r="G5785"/>
    <cellWatch r="G5786"/>
    <cellWatch r="G5787"/>
    <cellWatch r="G5788"/>
    <cellWatch r="G5789"/>
    <cellWatch r="G5790"/>
    <cellWatch r="G5791"/>
    <cellWatch r="G5792"/>
    <cellWatch r="G5793"/>
    <cellWatch r="G5794"/>
    <cellWatch r="G5795"/>
    <cellWatch r="G5796"/>
    <cellWatch r="G5797"/>
    <cellWatch r="G5798"/>
    <cellWatch r="G5799"/>
    <cellWatch r="G5800"/>
    <cellWatch r="G5801"/>
    <cellWatch r="G5802"/>
    <cellWatch r="G5803"/>
    <cellWatch r="G5804"/>
    <cellWatch r="G5805"/>
    <cellWatch r="G5806"/>
    <cellWatch r="G5807"/>
    <cellWatch r="G5808"/>
    <cellWatch r="G5809"/>
    <cellWatch r="G5810"/>
    <cellWatch r="G5811"/>
    <cellWatch r="G5812"/>
    <cellWatch r="G5813"/>
    <cellWatch r="G5814"/>
    <cellWatch r="G5815"/>
    <cellWatch r="G5816"/>
    <cellWatch r="G5817"/>
    <cellWatch r="G5818"/>
    <cellWatch r="G5819"/>
    <cellWatch r="G5820"/>
    <cellWatch r="G5821"/>
    <cellWatch r="G5822"/>
    <cellWatch r="G5823"/>
    <cellWatch r="G5824"/>
    <cellWatch r="G5825"/>
    <cellWatch r="G5826"/>
    <cellWatch r="G5827"/>
    <cellWatch r="G5828"/>
    <cellWatch r="G5829"/>
    <cellWatch r="G5830"/>
    <cellWatch r="G5831"/>
    <cellWatch r="G5832"/>
    <cellWatch r="G5833"/>
    <cellWatch r="G5834"/>
    <cellWatch r="G5835"/>
    <cellWatch r="G5836"/>
    <cellWatch r="G5837"/>
    <cellWatch r="G5838"/>
    <cellWatch r="G5839"/>
    <cellWatch r="G5840"/>
    <cellWatch r="G5841"/>
    <cellWatch r="G5842"/>
    <cellWatch r="G5843"/>
    <cellWatch r="G5844"/>
    <cellWatch r="G5845"/>
    <cellWatch r="G5846"/>
    <cellWatch r="G5847"/>
    <cellWatch r="G5848"/>
    <cellWatch r="G5849"/>
    <cellWatch r="G5850"/>
    <cellWatch r="G5851"/>
    <cellWatch r="G5852"/>
    <cellWatch r="G5853"/>
    <cellWatch r="G5854"/>
    <cellWatch r="G5855"/>
    <cellWatch r="G5856"/>
    <cellWatch r="G5857"/>
    <cellWatch r="G5858"/>
    <cellWatch r="G5859"/>
    <cellWatch r="G5860"/>
    <cellWatch r="G5861"/>
    <cellWatch r="G5862"/>
    <cellWatch r="G5863"/>
    <cellWatch r="G5864"/>
    <cellWatch r="G5865"/>
    <cellWatch r="G5866"/>
    <cellWatch r="G5867"/>
    <cellWatch r="G5868"/>
    <cellWatch r="G5869"/>
    <cellWatch r="G5870"/>
    <cellWatch r="G5871"/>
    <cellWatch r="G5872"/>
    <cellWatch r="G5873"/>
    <cellWatch r="G5874"/>
    <cellWatch r="G5875"/>
    <cellWatch r="G5876"/>
    <cellWatch r="G5877"/>
    <cellWatch r="G5878"/>
    <cellWatch r="G5879"/>
    <cellWatch r="G5880"/>
    <cellWatch r="G5881"/>
    <cellWatch r="G5882"/>
    <cellWatch r="G5883"/>
    <cellWatch r="G5884"/>
    <cellWatch r="G5885"/>
    <cellWatch r="G5886"/>
    <cellWatch r="G5887"/>
    <cellWatch r="G5888"/>
    <cellWatch r="G5889"/>
    <cellWatch r="G5890"/>
    <cellWatch r="G5891"/>
    <cellWatch r="G5892"/>
    <cellWatch r="G5893"/>
    <cellWatch r="G5894"/>
    <cellWatch r="G5895"/>
    <cellWatch r="G5896"/>
    <cellWatch r="G5897"/>
    <cellWatch r="G5898"/>
    <cellWatch r="G5899"/>
    <cellWatch r="G5900"/>
    <cellWatch r="G5901"/>
    <cellWatch r="G5902"/>
    <cellWatch r="G5903"/>
    <cellWatch r="G5904"/>
    <cellWatch r="G5905"/>
    <cellWatch r="G5906"/>
    <cellWatch r="G5907"/>
    <cellWatch r="G5908"/>
    <cellWatch r="G5909"/>
    <cellWatch r="G5910"/>
    <cellWatch r="G5911"/>
    <cellWatch r="G5912"/>
    <cellWatch r="G5913"/>
    <cellWatch r="G5914"/>
    <cellWatch r="G5915"/>
    <cellWatch r="G5916"/>
    <cellWatch r="G5917"/>
    <cellWatch r="G5918"/>
    <cellWatch r="G5919"/>
    <cellWatch r="G5920"/>
    <cellWatch r="G5921"/>
    <cellWatch r="G5922"/>
    <cellWatch r="G5923"/>
    <cellWatch r="G5924"/>
    <cellWatch r="G5925"/>
    <cellWatch r="G5926"/>
    <cellWatch r="G5927"/>
    <cellWatch r="G5928"/>
    <cellWatch r="G5929"/>
    <cellWatch r="G5930"/>
    <cellWatch r="G5931"/>
    <cellWatch r="G5932"/>
    <cellWatch r="G5933"/>
    <cellWatch r="G5934"/>
    <cellWatch r="G5935"/>
    <cellWatch r="G5936"/>
    <cellWatch r="G5937"/>
    <cellWatch r="G5938"/>
    <cellWatch r="G5939"/>
    <cellWatch r="G5940"/>
    <cellWatch r="G5941"/>
    <cellWatch r="G5942"/>
    <cellWatch r="G5943"/>
    <cellWatch r="G5944"/>
    <cellWatch r="G5945"/>
    <cellWatch r="G5946"/>
    <cellWatch r="G5947"/>
    <cellWatch r="G5948"/>
    <cellWatch r="G5949"/>
    <cellWatch r="G5950"/>
    <cellWatch r="G5951"/>
    <cellWatch r="G5952"/>
    <cellWatch r="G5953"/>
    <cellWatch r="G5954"/>
    <cellWatch r="G5955"/>
    <cellWatch r="G5956"/>
    <cellWatch r="G5957"/>
    <cellWatch r="G5958"/>
    <cellWatch r="G5959"/>
    <cellWatch r="G5960"/>
    <cellWatch r="G5961"/>
    <cellWatch r="G5962"/>
    <cellWatch r="G5963"/>
    <cellWatch r="G5964"/>
    <cellWatch r="G5965"/>
    <cellWatch r="G5966"/>
    <cellWatch r="G5967"/>
    <cellWatch r="G5968"/>
    <cellWatch r="G5969"/>
    <cellWatch r="G5970"/>
    <cellWatch r="G5971"/>
    <cellWatch r="G5972"/>
    <cellWatch r="G5973"/>
    <cellWatch r="G5974"/>
    <cellWatch r="G5975"/>
    <cellWatch r="G5976"/>
    <cellWatch r="G5977"/>
    <cellWatch r="G5978"/>
    <cellWatch r="G5979"/>
    <cellWatch r="G5980"/>
    <cellWatch r="G5981"/>
    <cellWatch r="G5982"/>
    <cellWatch r="G5983"/>
    <cellWatch r="G5984"/>
    <cellWatch r="G5985"/>
    <cellWatch r="G5986"/>
    <cellWatch r="G5987"/>
    <cellWatch r="G5988"/>
    <cellWatch r="G5989"/>
    <cellWatch r="G5990"/>
    <cellWatch r="G5991"/>
    <cellWatch r="G5992"/>
    <cellWatch r="G5993"/>
    <cellWatch r="G5994"/>
    <cellWatch r="G5995"/>
    <cellWatch r="G5996"/>
    <cellWatch r="G5997"/>
    <cellWatch r="G5998"/>
    <cellWatch r="G5999"/>
    <cellWatch r="G6000"/>
    <cellWatch r="G6001"/>
    <cellWatch r="G6002"/>
    <cellWatch r="G6003"/>
    <cellWatch r="G6004"/>
    <cellWatch r="G6005"/>
    <cellWatch r="G6006"/>
    <cellWatch r="G6007"/>
    <cellWatch r="G6008"/>
    <cellWatch r="G6009"/>
    <cellWatch r="G6010"/>
    <cellWatch r="G6011"/>
    <cellWatch r="G6012"/>
    <cellWatch r="G6013"/>
    <cellWatch r="G6014"/>
    <cellWatch r="G6015"/>
    <cellWatch r="G6016"/>
    <cellWatch r="G6017"/>
    <cellWatch r="G6018"/>
    <cellWatch r="G6019"/>
    <cellWatch r="G6020"/>
    <cellWatch r="G6021"/>
    <cellWatch r="G6022"/>
    <cellWatch r="G6023"/>
    <cellWatch r="G6024"/>
    <cellWatch r="G6025"/>
    <cellWatch r="G6026"/>
    <cellWatch r="G6027"/>
    <cellWatch r="G6028"/>
    <cellWatch r="G6029"/>
    <cellWatch r="G6030"/>
    <cellWatch r="G6031"/>
    <cellWatch r="G6032"/>
    <cellWatch r="G6033"/>
    <cellWatch r="G6034"/>
    <cellWatch r="G6035"/>
    <cellWatch r="G6036"/>
    <cellWatch r="G6037"/>
    <cellWatch r="G6038"/>
    <cellWatch r="G6039"/>
    <cellWatch r="G6040"/>
    <cellWatch r="G6041"/>
    <cellWatch r="G6042"/>
    <cellWatch r="G6043"/>
    <cellWatch r="G6044"/>
    <cellWatch r="G6045"/>
    <cellWatch r="G6046"/>
    <cellWatch r="G6047"/>
    <cellWatch r="G6048"/>
    <cellWatch r="G6049"/>
    <cellWatch r="G6050"/>
    <cellWatch r="G6051"/>
    <cellWatch r="G6052"/>
    <cellWatch r="G6053"/>
    <cellWatch r="G6054"/>
    <cellWatch r="G6055"/>
    <cellWatch r="G6056"/>
    <cellWatch r="G6057"/>
    <cellWatch r="G6058"/>
    <cellWatch r="G6059"/>
    <cellWatch r="G6060"/>
    <cellWatch r="G6061"/>
    <cellWatch r="G6062"/>
    <cellWatch r="G6063"/>
    <cellWatch r="G6064"/>
    <cellWatch r="G6065"/>
    <cellWatch r="G6066"/>
    <cellWatch r="G6067"/>
    <cellWatch r="G6068"/>
    <cellWatch r="G6069"/>
    <cellWatch r="G6070"/>
    <cellWatch r="G6071"/>
    <cellWatch r="G6072"/>
    <cellWatch r="G6073"/>
    <cellWatch r="G6074"/>
    <cellWatch r="G6075"/>
    <cellWatch r="G6076"/>
    <cellWatch r="G6077"/>
    <cellWatch r="G6078"/>
    <cellWatch r="G6079"/>
    <cellWatch r="G6080"/>
    <cellWatch r="G6081"/>
    <cellWatch r="G6082"/>
    <cellWatch r="G6083"/>
    <cellWatch r="G6084"/>
    <cellWatch r="G6085"/>
    <cellWatch r="G6086"/>
    <cellWatch r="G6087"/>
    <cellWatch r="G6088"/>
    <cellWatch r="G6089"/>
    <cellWatch r="G6090"/>
    <cellWatch r="G6091"/>
    <cellWatch r="G6092"/>
    <cellWatch r="G6093"/>
    <cellWatch r="G6094"/>
    <cellWatch r="G6095"/>
    <cellWatch r="G6096"/>
    <cellWatch r="G6097"/>
    <cellWatch r="G6098"/>
    <cellWatch r="G6099"/>
    <cellWatch r="G6100"/>
    <cellWatch r="G6101"/>
    <cellWatch r="G6102"/>
    <cellWatch r="G6103"/>
    <cellWatch r="G6104"/>
    <cellWatch r="G6105"/>
    <cellWatch r="G6106"/>
    <cellWatch r="G6107"/>
    <cellWatch r="G6108"/>
    <cellWatch r="G6109"/>
    <cellWatch r="G6110"/>
    <cellWatch r="G6111"/>
    <cellWatch r="G6112"/>
    <cellWatch r="G6113"/>
    <cellWatch r="G6114"/>
    <cellWatch r="G6115"/>
    <cellWatch r="G6116"/>
    <cellWatch r="G6117"/>
    <cellWatch r="G6118"/>
    <cellWatch r="G6119"/>
    <cellWatch r="G6120"/>
    <cellWatch r="G6121"/>
    <cellWatch r="G6122"/>
    <cellWatch r="G6123"/>
    <cellWatch r="G6124"/>
    <cellWatch r="G6125"/>
    <cellWatch r="G6126"/>
    <cellWatch r="G6127"/>
    <cellWatch r="G6128"/>
    <cellWatch r="G6129"/>
    <cellWatch r="G6130"/>
    <cellWatch r="G6131"/>
    <cellWatch r="G6132"/>
    <cellWatch r="G6133"/>
    <cellWatch r="G6134"/>
    <cellWatch r="G6135"/>
    <cellWatch r="G6136"/>
    <cellWatch r="G6137"/>
    <cellWatch r="G6138"/>
    <cellWatch r="G6139"/>
    <cellWatch r="G6140"/>
    <cellWatch r="G6141"/>
    <cellWatch r="G6142"/>
    <cellWatch r="G6143"/>
    <cellWatch r="G6144"/>
    <cellWatch r="G6145"/>
    <cellWatch r="G6146"/>
    <cellWatch r="G6147"/>
    <cellWatch r="G6148"/>
    <cellWatch r="G6149"/>
    <cellWatch r="G6150"/>
    <cellWatch r="G6151"/>
    <cellWatch r="G6152"/>
    <cellWatch r="G6153"/>
    <cellWatch r="G6154"/>
    <cellWatch r="G6155"/>
    <cellWatch r="G6156"/>
    <cellWatch r="G6157"/>
    <cellWatch r="G6158"/>
    <cellWatch r="G6159"/>
    <cellWatch r="G6160"/>
    <cellWatch r="G6161"/>
    <cellWatch r="G6162"/>
    <cellWatch r="G6163"/>
    <cellWatch r="G6164"/>
    <cellWatch r="G6165"/>
    <cellWatch r="G6166"/>
    <cellWatch r="G6167"/>
    <cellWatch r="G6168"/>
    <cellWatch r="G6169"/>
    <cellWatch r="G6170"/>
    <cellWatch r="G6171"/>
    <cellWatch r="G6172"/>
    <cellWatch r="G6173"/>
    <cellWatch r="G6174"/>
    <cellWatch r="G6175"/>
    <cellWatch r="G6176"/>
    <cellWatch r="G6177"/>
    <cellWatch r="G6178"/>
    <cellWatch r="G6179"/>
    <cellWatch r="G6180"/>
    <cellWatch r="G6181"/>
    <cellWatch r="G6182"/>
    <cellWatch r="G6183"/>
    <cellWatch r="G6184"/>
    <cellWatch r="G6185"/>
    <cellWatch r="G6186"/>
    <cellWatch r="G6187"/>
    <cellWatch r="G6188"/>
    <cellWatch r="G6189"/>
    <cellWatch r="G6190"/>
    <cellWatch r="G6191"/>
    <cellWatch r="G6192"/>
    <cellWatch r="G6193"/>
    <cellWatch r="G6194"/>
    <cellWatch r="G6195"/>
    <cellWatch r="G6196"/>
    <cellWatch r="G6197"/>
    <cellWatch r="G6198"/>
    <cellWatch r="G6199"/>
    <cellWatch r="G6200"/>
    <cellWatch r="G6201"/>
    <cellWatch r="G6202"/>
    <cellWatch r="G6203"/>
    <cellWatch r="G6204"/>
    <cellWatch r="G6205"/>
    <cellWatch r="G6206"/>
    <cellWatch r="G6207"/>
    <cellWatch r="G6208"/>
    <cellWatch r="G6209"/>
    <cellWatch r="G6210"/>
    <cellWatch r="G6211"/>
    <cellWatch r="G6212"/>
    <cellWatch r="G6213"/>
    <cellWatch r="G6214"/>
    <cellWatch r="G6215"/>
    <cellWatch r="G6216"/>
    <cellWatch r="G6217"/>
    <cellWatch r="G6218"/>
    <cellWatch r="G6219"/>
    <cellWatch r="G6220"/>
    <cellWatch r="G6221"/>
    <cellWatch r="G6222"/>
    <cellWatch r="G6223"/>
    <cellWatch r="G6224"/>
    <cellWatch r="G6225"/>
    <cellWatch r="G6226"/>
    <cellWatch r="G6227"/>
    <cellWatch r="G6228"/>
    <cellWatch r="G6229"/>
    <cellWatch r="G6230"/>
    <cellWatch r="G6231"/>
    <cellWatch r="G6232"/>
    <cellWatch r="G6233"/>
    <cellWatch r="G6234"/>
    <cellWatch r="G6235"/>
    <cellWatch r="G6236"/>
    <cellWatch r="G6237"/>
    <cellWatch r="G6238"/>
    <cellWatch r="G6239"/>
    <cellWatch r="G6240"/>
    <cellWatch r="G6241"/>
    <cellWatch r="G6242"/>
    <cellWatch r="G6243"/>
    <cellWatch r="G6244"/>
    <cellWatch r="G6245"/>
    <cellWatch r="G6246"/>
    <cellWatch r="G6247"/>
    <cellWatch r="G6248"/>
    <cellWatch r="G6249"/>
    <cellWatch r="G6250"/>
    <cellWatch r="G6251"/>
    <cellWatch r="G6252"/>
    <cellWatch r="G6253"/>
    <cellWatch r="G6254"/>
    <cellWatch r="G6255"/>
    <cellWatch r="G6256"/>
    <cellWatch r="G6257"/>
    <cellWatch r="G6258"/>
    <cellWatch r="G6259"/>
    <cellWatch r="G6260"/>
    <cellWatch r="G6261"/>
    <cellWatch r="G6262"/>
    <cellWatch r="G6263"/>
    <cellWatch r="G6264"/>
    <cellWatch r="G6265"/>
    <cellWatch r="G6266"/>
    <cellWatch r="G6267"/>
    <cellWatch r="G6268"/>
    <cellWatch r="G6269"/>
    <cellWatch r="G6270"/>
    <cellWatch r="G6271"/>
    <cellWatch r="G6272"/>
    <cellWatch r="G6273"/>
    <cellWatch r="G6274"/>
    <cellWatch r="G6275"/>
    <cellWatch r="G6276"/>
    <cellWatch r="G6277"/>
    <cellWatch r="G6278"/>
    <cellWatch r="G6279"/>
    <cellWatch r="G6280"/>
    <cellWatch r="G6281"/>
    <cellWatch r="G6282"/>
    <cellWatch r="G6283"/>
    <cellWatch r="G6284"/>
    <cellWatch r="G6285"/>
    <cellWatch r="G6286"/>
    <cellWatch r="G6287"/>
    <cellWatch r="G6288"/>
    <cellWatch r="G6289"/>
    <cellWatch r="G6290"/>
    <cellWatch r="G6291"/>
    <cellWatch r="G6292"/>
    <cellWatch r="G6293"/>
    <cellWatch r="G6294"/>
    <cellWatch r="G6295"/>
    <cellWatch r="G6296"/>
    <cellWatch r="G6297"/>
    <cellWatch r="G6298"/>
    <cellWatch r="G6299"/>
    <cellWatch r="G6300"/>
    <cellWatch r="G6301"/>
    <cellWatch r="G6302"/>
    <cellWatch r="G6303"/>
    <cellWatch r="G6304"/>
    <cellWatch r="G6305"/>
    <cellWatch r="G6306"/>
    <cellWatch r="G6307"/>
    <cellWatch r="G6308"/>
    <cellWatch r="G6309"/>
    <cellWatch r="G6310"/>
    <cellWatch r="G6311"/>
    <cellWatch r="G6312"/>
    <cellWatch r="G6313"/>
    <cellWatch r="G6314"/>
    <cellWatch r="G6315"/>
    <cellWatch r="G6316"/>
    <cellWatch r="G6317"/>
    <cellWatch r="G6318"/>
    <cellWatch r="G6319"/>
    <cellWatch r="G6320"/>
    <cellWatch r="G6321"/>
    <cellWatch r="G6322"/>
    <cellWatch r="G6323"/>
    <cellWatch r="G6324"/>
    <cellWatch r="G6325"/>
    <cellWatch r="G6326"/>
    <cellWatch r="G6327"/>
    <cellWatch r="G6328"/>
    <cellWatch r="G6329"/>
    <cellWatch r="G6330"/>
    <cellWatch r="G6331"/>
    <cellWatch r="G6332"/>
    <cellWatch r="G6333"/>
    <cellWatch r="G6334"/>
    <cellWatch r="G6335"/>
    <cellWatch r="G6336"/>
    <cellWatch r="G6337"/>
    <cellWatch r="G6338"/>
    <cellWatch r="G6339"/>
    <cellWatch r="G6340"/>
    <cellWatch r="G6341"/>
    <cellWatch r="G6342"/>
    <cellWatch r="G6343"/>
    <cellWatch r="G6344"/>
    <cellWatch r="G6345"/>
    <cellWatch r="G6346"/>
    <cellWatch r="G6347"/>
    <cellWatch r="G6348"/>
    <cellWatch r="G6349"/>
    <cellWatch r="G6350"/>
    <cellWatch r="G6351"/>
    <cellWatch r="G6352"/>
    <cellWatch r="G6353"/>
    <cellWatch r="G6354"/>
    <cellWatch r="G6355"/>
    <cellWatch r="G6356"/>
    <cellWatch r="G6357"/>
    <cellWatch r="G6358"/>
    <cellWatch r="G6359"/>
    <cellWatch r="G6360"/>
    <cellWatch r="G6361"/>
    <cellWatch r="G6362"/>
    <cellWatch r="G6363"/>
    <cellWatch r="G6364"/>
    <cellWatch r="G6365"/>
    <cellWatch r="G6366"/>
    <cellWatch r="G6367"/>
    <cellWatch r="G6368"/>
    <cellWatch r="G6369"/>
    <cellWatch r="G6370"/>
    <cellWatch r="G6371"/>
    <cellWatch r="G6372"/>
    <cellWatch r="G6373"/>
    <cellWatch r="G6374"/>
    <cellWatch r="G6375"/>
    <cellWatch r="G6376"/>
    <cellWatch r="G6377"/>
    <cellWatch r="G6378"/>
    <cellWatch r="G6379"/>
    <cellWatch r="G6380"/>
    <cellWatch r="G6381"/>
    <cellWatch r="G6382"/>
    <cellWatch r="G6383"/>
    <cellWatch r="G6384"/>
    <cellWatch r="G6385"/>
    <cellWatch r="G6386"/>
    <cellWatch r="G6387"/>
    <cellWatch r="G6388"/>
    <cellWatch r="G6389"/>
    <cellWatch r="G6390"/>
    <cellWatch r="G6391"/>
    <cellWatch r="G6392"/>
    <cellWatch r="G6393"/>
    <cellWatch r="G6394"/>
    <cellWatch r="G6395"/>
    <cellWatch r="G6396"/>
    <cellWatch r="G6397"/>
    <cellWatch r="G6398"/>
    <cellWatch r="G6399"/>
    <cellWatch r="G6400"/>
    <cellWatch r="G6401"/>
    <cellWatch r="G6402"/>
    <cellWatch r="G6403"/>
    <cellWatch r="G6404"/>
    <cellWatch r="G6405"/>
    <cellWatch r="G6406"/>
    <cellWatch r="G6407"/>
    <cellWatch r="G6408"/>
    <cellWatch r="G6409"/>
    <cellWatch r="G6410"/>
    <cellWatch r="G6411"/>
    <cellWatch r="G6412"/>
    <cellWatch r="G6413"/>
    <cellWatch r="G6414"/>
    <cellWatch r="G6415"/>
    <cellWatch r="G6416"/>
    <cellWatch r="G6417"/>
    <cellWatch r="G6418"/>
    <cellWatch r="G6419"/>
    <cellWatch r="G6420"/>
    <cellWatch r="G6421"/>
    <cellWatch r="G6422"/>
    <cellWatch r="G6423"/>
    <cellWatch r="G6424"/>
    <cellWatch r="G6425"/>
    <cellWatch r="G6426"/>
    <cellWatch r="G6427"/>
    <cellWatch r="G6428"/>
    <cellWatch r="G6429"/>
    <cellWatch r="G6430"/>
    <cellWatch r="G6431"/>
    <cellWatch r="G6432"/>
    <cellWatch r="G6433"/>
    <cellWatch r="G6434"/>
    <cellWatch r="G6435"/>
    <cellWatch r="G6436"/>
    <cellWatch r="G6437"/>
    <cellWatch r="G6438"/>
    <cellWatch r="G6439"/>
    <cellWatch r="G6440"/>
    <cellWatch r="G6441"/>
    <cellWatch r="G6442"/>
    <cellWatch r="G6443"/>
    <cellWatch r="G6444"/>
    <cellWatch r="G6445"/>
    <cellWatch r="G6446"/>
    <cellWatch r="G6447"/>
    <cellWatch r="G6448"/>
    <cellWatch r="G6449"/>
    <cellWatch r="G6450"/>
    <cellWatch r="G6451"/>
    <cellWatch r="G6452"/>
    <cellWatch r="G6453"/>
    <cellWatch r="G6454"/>
    <cellWatch r="G6455"/>
    <cellWatch r="G6456"/>
    <cellWatch r="G6457"/>
    <cellWatch r="G6458"/>
    <cellWatch r="G6459"/>
    <cellWatch r="G6460"/>
    <cellWatch r="G6461"/>
    <cellWatch r="G6462"/>
    <cellWatch r="G6463"/>
    <cellWatch r="G6464"/>
    <cellWatch r="G6465"/>
    <cellWatch r="G6466"/>
    <cellWatch r="G6467"/>
    <cellWatch r="G6468"/>
    <cellWatch r="G6469"/>
    <cellWatch r="G6470"/>
    <cellWatch r="G6471"/>
    <cellWatch r="G6472"/>
    <cellWatch r="G6473"/>
    <cellWatch r="G6474"/>
    <cellWatch r="G6475"/>
    <cellWatch r="G6476"/>
    <cellWatch r="G6477"/>
    <cellWatch r="G6478"/>
    <cellWatch r="G6479"/>
    <cellWatch r="G6480"/>
    <cellWatch r="G6481"/>
    <cellWatch r="G6482"/>
    <cellWatch r="G6483"/>
    <cellWatch r="G6484"/>
    <cellWatch r="G6485"/>
    <cellWatch r="G6486"/>
    <cellWatch r="G6487"/>
    <cellWatch r="G6488"/>
    <cellWatch r="G6489"/>
    <cellWatch r="G6490"/>
    <cellWatch r="G6491"/>
    <cellWatch r="G6492"/>
    <cellWatch r="G6493"/>
    <cellWatch r="G6494"/>
    <cellWatch r="G6495"/>
    <cellWatch r="G6496"/>
    <cellWatch r="G6497"/>
    <cellWatch r="G6498"/>
    <cellWatch r="G6499"/>
    <cellWatch r="G6500"/>
    <cellWatch r="G6501"/>
    <cellWatch r="G6502"/>
    <cellWatch r="G6503"/>
    <cellWatch r="G6504"/>
    <cellWatch r="G6505"/>
    <cellWatch r="G6506"/>
    <cellWatch r="G6507"/>
    <cellWatch r="G6508"/>
    <cellWatch r="G6509"/>
    <cellWatch r="G6510"/>
    <cellWatch r="G6511"/>
    <cellWatch r="G6512"/>
    <cellWatch r="G6513"/>
    <cellWatch r="G6514"/>
    <cellWatch r="G6515"/>
    <cellWatch r="G6516"/>
    <cellWatch r="G6517"/>
    <cellWatch r="G6518"/>
    <cellWatch r="G6519"/>
    <cellWatch r="G6520"/>
    <cellWatch r="G6521"/>
    <cellWatch r="G6522"/>
    <cellWatch r="G6523"/>
    <cellWatch r="G6524"/>
    <cellWatch r="G6525"/>
    <cellWatch r="G6526"/>
    <cellWatch r="G6527"/>
    <cellWatch r="G6528"/>
    <cellWatch r="G6529"/>
    <cellWatch r="G6530"/>
    <cellWatch r="G6531"/>
    <cellWatch r="G6532"/>
    <cellWatch r="G6533"/>
    <cellWatch r="G6534"/>
    <cellWatch r="G6535"/>
    <cellWatch r="G6536"/>
    <cellWatch r="G6537"/>
    <cellWatch r="G6538"/>
    <cellWatch r="G6539"/>
    <cellWatch r="G6540"/>
    <cellWatch r="G6541"/>
    <cellWatch r="G6542"/>
    <cellWatch r="G6543"/>
    <cellWatch r="G6544"/>
    <cellWatch r="G6545"/>
    <cellWatch r="G6546"/>
    <cellWatch r="G6547"/>
    <cellWatch r="G6548"/>
    <cellWatch r="G6549"/>
    <cellWatch r="G6550"/>
    <cellWatch r="G6551"/>
    <cellWatch r="G6552"/>
    <cellWatch r="G6553"/>
    <cellWatch r="G6554"/>
    <cellWatch r="G6555"/>
    <cellWatch r="G6556"/>
    <cellWatch r="G6557"/>
    <cellWatch r="G6558"/>
    <cellWatch r="G6559"/>
    <cellWatch r="G6560"/>
    <cellWatch r="G6561"/>
    <cellWatch r="G6562"/>
    <cellWatch r="G6563"/>
    <cellWatch r="G6564"/>
    <cellWatch r="G6565"/>
    <cellWatch r="G6566"/>
    <cellWatch r="G6567"/>
    <cellWatch r="G6568"/>
    <cellWatch r="G6569"/>
    <cellWatch r="G6570"/>
    <cellWatch r="G6571"/>
    <cellWatch r="G6572"/>
    <cellWatch r="G6573"/>
    <cellWatch r="G6574"/>
    <cellWatch r="G6575"/>
    <cellWatch r="G6576"/>
    <cellWatch r="G6577"/>
    <cellWatch r="G6578"/>
    <cellWatch r="G6579"/>
    <cellWatch r="G6580"/>
    <cellWatch r="G6581"/>
    <cellWatch r="G6582"/>
    <cellWatch r="G6583"/>
    <cellWatch r="G6584"/>
    <cellWatch r="G6585"/>
    <cellWatch r="G6586"/>
    <cellWatch r="G6587"/>
    <cellWatch r="G6588"/>
    <cellWatch r="G6589"/>
    <cellWatch r="G6590"/>
    <cellWatch r="G6591"/>
    <cellWatch r="G6592"/>
    <cellWatch r="G6593"/>
    <cellWatch r="G6594"/>
    <cellWatch r="G6595"/>
    <cellWatch r="G6596"/>
    <cellWatch r="G6597"/>
    <cellWatch r="G6598"/>
    <cellWatch r="G6599"/>
    <cellWatch r="G6600"/>
    <cellWatch r="G6601"/>
    <cellWatch r="G6602"/>
    <cellWatch r="G6603"/>
    <cellWatch r="G6604"/>
    <cellWatch r="G6605"/>
    <cellWatch r="G6606"/>
    <cellWatch r="G6607"/>
    <cellWatch r="G6608"/>
    <cellWatch r="G6609"/>
    <cellWatch r="G6610"/>
    <cellWatch r="G6611"/>
    <cellWatch r="G6612"/>
    <cellWatch r="G6613"/>
    <cellWatch r="G6614"/>
    <cellWatch r="G6615"/>
    <cellWatch r="G6616"/>
    <cellWatch r="G6617"/>
    <cellWatch r="G6618"/>
    <cellWatch r="G6619"/>
    <cellWatch r="G6620"/>
    <cellWatch r="G6621"/>
    <cellWatch r="G6622"/>
    <cellWatch r="G6623"/>
    <cellWatch r="G6624"/>
    <cellWatch r="G6625"/>
    <cellWatch r="G6626"/>
    <cellWatch r="G6627"/>
    <cellWatch r="G6628"/>
    <cellWatch r="G6629"/>
    <cellWatch r="G6630"/>
    <cellWatch r="G6631"/>
    <cellWatch r="G6632"/>
    <cellWatch r="G6633"/>
    <cellWatch r="G6634"/>
    <cellWatch r="G6635"/>
    <cellWatch r="G6636"/>
    <cellWatch r="G6637"/>
    <cellWatch r="G6638"/>
    <cellWatch r="G6639"/>
    <cellWatch r="G6640"/>
    <cellWatch r="G6641"/>
    <cellWatch r="G6642"/>
    <cellWatch r="G6643"/>
    <cellWatch r="G6644"/>
    <cellWatch r="G6645"/>
    <cellWatch r="G6646"/>
    <cellWatch r="G6647"/>
    <cellWatch r="G6648"/>
    <cellWatch r="G6649"/>
    <cellWatch r="G6650"/>
    <cellWatch r="G6651"/>
    <cellWatch r="G6652"/>
    <cellWatch r="G6653"/>
    <cellWatch r="G6654"/>
    <cellWatch r="G6655"/>
    <cellWatch r="G6656"/>
    <cellWatch r="G6657"/>
    <cellWatch r="G6658"/>
    <cellWatch r="G6659"/>
    <cellWatch r="G6660"/>
    <cellWatch r="G6661"/>
    <cellWatch r="G6662"/>
    <cellWatch r="G6663"/>
    <cellWatch r="G6664"/>
    <cellWatch r="G6665"/>
    <cellWatch r="G6666"/>
    <cellWatch r="G6667"/>
    <cellWatch r="G6668"/>
    <cellWatch r="G6669"/>
    <cellWatch r="G6670"/>
    <cellWatch r="G6671"/>
    <cellWatch r="G6672"/>
    <cellWatch r="G6673"/>
    <cellWatch r="G6674"/>
    <cellWatch r="G6675"/>
    <cellWatch r="G6676"/>
    <cellWatch r="G6677"/>
    <cellWatch r="G6678"/>
    <cellWatch r="G6679"/>
    <cellWatch r="G6680"/>
    <cellWatch r="G6681"/>
    <cellWatch r="G6682"/>
    <cellWatch r="G6683"/>
    <cellWatch r="G6684"/>
    <cellWatch r="G6685"/>
    <cellWatch r="G6686"/>
    <cellWatch r="G6687"/>
    <cellWatch r="G6688"/>
    <cellWatch r="G6689"/>
    <cellWatch r="G6690"/>
    <cellWatch r="G6691"/>
    <cellWatch r="G6692"/>
    <cellWatch r="G6693"/>
    <cellWatch r="G6694"/>
    <cellWatch r="G6695"/>
    <cellWatch r="G6696"/>
    <cellWatch r="G6697"/>
    <cellWatch r="G6698"/>
    <cellWatch r="G6699"/>
    <cellWatch r="G6700"/>
    <cellWatch r="G6701"/>
    <cellWatch r="G6702"/>
    <cellWatch r="G6703"/>
    <cellWatch r="G6704"/>
    <cellWatch r="G6705"/>
    <cellWatch r="G6706"/>
    <cellWatch r="G6707"/>
    <cellWatch r="G6708"/>
    <cellWatch r="G6709"/>
    <cellWatch r="G6710"/>
    <cellWatch r="G6711"/>
    <cellWatch r="G6712"/>
    <cellWatch r="G6713"/>
    <cellWatch r="G6714"/>
    <cellWatch r="G6715"/>
    <cellWatch r="G6716"/>
    <cellWatch r="G6717"/>
    <cellWatch r="G6718"/>
    <cellWatch r="G6719"/>
    <cellWatch r="G6720"/>
    <cellWatch r="G6721"/>
    <cellWatch r="G6722"/>
    <cellWatch r="G6723"/>
    <cellWatch r="G6724"/>
    <cellWatch r="G6725"/>
    <cellWatch r="G6726"/>
    <cellWatch r="G6727"/>
    <cellWatch r="G6728"/>
    <cellWatch r="G6729"/>
    <cellWatch r="G6730"/>
    <cellWatch r="G6731"/>
    <cellWatch r="G6732"/>
    <cellWatch r="G6733"/>
    <cellWatch r="G6734"/>
    <cellWatch r="G6735"/>
    <cellWatch r="G6736"/>
    <cellWatch r="G6737"/>
    <cellWatch r="G6738"/>
    <cellWatch r="G6739"/>
    <cellWatch r="G6740"/>
    <cellWatch r="G6741"/>
    <cellWatch r="G6742"/>
    <cellWatch r="G6743"/>
    <cellWatch r="G6744"/>
    <cellWatch r="G6745"/>
    <cellWatch r="G6746"/>
    <cellWatch r="G6747"/>
    <cellWatch r="G6748"/>
    <cellWatch r="G6749"/>
    <cellWatch r="G6750"/>
    <cellWatch r="G6751"/>
    <cellWatch r="G6752"/>
    <cellWatch r="G6753"/>
    <cellWatch r="G6754"/>
    <cellWatch r="G6755"/>
    <cellWatch r="G6756"/>
    <cellWatch r="G6757"/>
    <cellWatch r="G6758"/>
    <cellWatch r="G6759"/>
    <cellWatch r="G6760"/>
    <cellWatch r="G6761"/>
    <cellWatch r="G6762"/>
    <cellWatch r="G6763"/>
    <cellWatch r="G6764"/>
    <cellWatch r="G6765"/>
    <cellWatch r="G6766"/>
    <cellWatch r="G6767"/>
    <cellWatch r="G6768"/>
    <cellWatch r="G6769"/>
    <cellWatch r="G6770"/>
    <cellWatch r="G6771"/>
    <cellWatch r="G6772"/>
    <cellWatch r="G6773"/>
    <cellWatch r="G6774"/>
    <cellWatch r="G6775"/>
    <cellWatch r="G6776"/>
    <cellWatch r="G6777"/>
    <cellWatch r="G6778"/>
    <cellWatch r="G6779"/>
    <cellWatch r="G6780"/>
    <cellWatch r="G6781"/>
    <cellWatch r="G6782"/>
    <cellWatch r="G6783"/>
    <cellWatch r="G6784"/>
    <cellWatch r="G6785"/>
    <cellWatch r="G6786"/>
    <cellWatch r="G6787"/>
    <cellWatch r="G6788"/>
    <cellWatch r="G6789"/>
    <cellWatch r="G6790"/>
    <cellWatch r="G6791"/>
    <cellWatch r="G6792"/>
    <cellWatch r="G6793"/>
    <cellWatch r="G6794"/>
    <cellWatch r="G6795"/>
    <cellWatch r="G6796"/>
    <cellWatch r="G6797"/>
    <cellWatch r="G6798"/>
    <cellWatch r="G6799"/>
    <cellWatch r="G6800"/>
    <cellWatch r="G6801"/>
    <cellWatch r="G6802"/>
    <cellWatch r="G6803"/>
    <cellWatch r="G6804"/>
    <cellWatch r="G6805"/>
    <cellWatch r="G6806"/>
    <cellWatch r="G6807"/>
    <cellWatch r="G6808"/>
    <cellWatch r="G6809"/>
    <cellWatch r="G6810"/>
    <cellWatch r="G6811"/>
    <cellWatch r="G6812"/>
    <cellWatch r="G6813"/>
    <cellWatch r="G6814"/>
    <cellWatch r="G6815"/>
    <cellWatch r="G6816"/>
    <cellWatch r="G6817"/>
    <cellWatch r="G6818"/>
    <cellWatch r="G6819"/>
    <cellWatch r="G6820"/>
    <cellWatch r="G6821"/>
    <cellWatch r="G6822"/>
    <cellWatch r="G6823"/>
    <cellWatch r="G6824"/>
    <cellWatch r="G6825"/>
    <cellWatch r="G6826"/>
    <cellWatch r="G6827"/>
    <cellWatch r="G6828"/>
    <cellWatch r="G6829"/>
    <cellWatch r="G6830"/>
    <cellWatch r="G6831"/>
    <cellWatch r="G6832"/>
    <cellWatch r="G6833"/>
    <cellWatch r="G6834"/>
    <cellWatch r="G6835"/>
    <cellWatch r="G6836"/>
    <cellWatch r="G6837"/>
    <cellWatch r="G6838"/>
    <cellWatch r="G6839"/>
    <cellWatch r="G6840"/>
    <cellWatch r="G6841"/>
    <cellWatch r="G6842"/>
    <cellWatch r="G6843"/>
    <cellWatch r="G6844"/>
    <cellWatch r="G6845"/>
    <cellWatch r="G6846"/>
    <cellWatch r="G6847"/>
    <cellWatch r="G6848"/>
    <cellWatch r="G6849"/>
    <cellWatch r="G6850"/>
    <cellWatch r="G6851"/>
    <cellWatch r="G6852"/>
    <cellWatch r="G6853"/>
    <cellWatch r="G6854"/>
    <cellWatch r="G6855"/>
    <cellWatch r="G6856"/>
    <cellWatch r="G6857"/>
    <cellWatch r="G6858"/>
    <cellWatch r="G6859"/>
    <cellWatch r="G6860"/>
    <cellWatch r="G6861"/>
    <cellWatch r="G6862"/>
    <cellWatch r="G6863"/>
    <cellWatch r="G6864"/>
    <cellWatch r="G6865"/>
    <cellWatch r="G6866"/>
    <cellWatch r="G6867"/>
    <cellWatch r="G6868"/>
    <cellWatch r="G6869"/>
    <cellWatch r="G6870"/>
    <cellWatch r="G6871"/>
    <cellWatch r="G6872"/>
    <cellWatch r="G6873"/>
    <cellWatch r="G6874"/>
    <cellWatch r="G6875"/>
    <cellWatch r="G6876"/>
    <cellWatch r="G6877"/>
    <cellWatch r="G6878"/>
    <cellWatch r="G6879"/>
    <cellWatch r="G6880"/>
    <cellWatch r="G6881"/>
    <cellWatch r="G6882"/>
    <cellWatch r="G6883"/>
    <cellWatch r="G6884"/>
    <cellWatch r="G6885"/>
    <cellWatch r="G6886"/>
    <cellWatch r="G6887"/>
    <cellWatch r="G6888"/>
    <cellWatch r="G6889"/>
    <cellWatch r="G6890"/>
    <cellWatch r="G6891"/>
    <cellWatch r="G6892"/>
    <cellWatch r="G6893"/>
    <cellWatch r="G6894"/>
    <cellWatch r="G6895"/>
    <cellWatch r="G6896"/>
    <cellWatch r="G6897"/>
    <cellWatch r="G6898"/>
    <cellWatch r="G6899"/>
    <cellWatch r="G6900"/>
    <cellWatch r="G6901"/>
    <cellWatch r="G6902"/>
    <cellWatch r="G6903"/>
    <cellWatch r="G6904"/>
    <cellWatch r="G6905"/>
    <cellWatch r="G6906"/>
    <cellWatch r="G6907"/>
    <cellWatch r="G6908"/>
    <cellWatch r="G6909"/>
    <cellWatch r="G6910"/>
    <cellWatch r="G6911"/>
    <cellWatch r="G6912"/>
    <cellWatch r="G6913"/>
    <cellWatch r="G6914"/>
    <cellWatch r="G6915"/>
    <cellWatch r="G6916"/>
    <cellWatch r="G6917"/>
    <cellWatch r="G6918"/>
    <cellWatch r="G6919"/>
    <cellWatch r="G6920"/>
    <cellWatch r="G6921"/>
    <cellWatch r="G6922"/>
    <cellWatch r="G6923"/>
    <cellWatch r="G6924"/>
    <cellWatch r="G6925"/>
    <cellWatch r="G6926"/>
    <cellWatch r="G6927"/>
    <cellWatch r="G6928"/>
    <cellWatch r="G6929"/>
    <cellWatch r="G6930"/>
    <cellWatch r="G6931"/>
    <cellWatch r="G6932"/>
    <cellWatch r="G6933"/>
    <cellWatch r="G6934"/>
    <cellWatch r="G6935"/>
    <cellWatch r="G6936"/>
    <cellWatch r="G6937"/>
    <cellWatch r="G6938"/>
    <cellWatch r="G6939"/>
    <cellWatch r="G6940"/>
    <cellWatch r="G6941"/>
    <cellWatch r="G6942"/>
    <cellWatch r="G6943"/>
    <cellWatch r="G6944"/>
    <cellWatch r="G6945"/>
    <cellWatch r="G6946"/>
    <cellWatch r="G6947"/>
    <cellWatch r="G6948"/>
    <cellWatch r="G6949"/>
    <cellWatch r="G6950"/>
    <cellWatch r="G6951"/>
    <cellWatch r="G6952"/>
    <cellWatch r="G6953"/>
    <cellWatch r="G6954"/>
    <cellWatch r="G6955"/>
    <cellWatch r="G6956"/>
    <cellWatch r="G6957"/>
    <cellWatch r="G6958"/>
    <cellWatch r="G6959"/>
    <cellWatch r="G6960"/>
    <cellWatch r="G6961"/>
    <cellWatch r="G6962"/>
    <cellWatch r="G6963"/>
    <cellWatch r="G6964"/>
    <cellWatch r="G6965"/>
    <cellWatch r="G6966"/>
    <cellWatch r="G6967"/>
    <cellWatch r="G6968"/>
    <cellWatch r="G6969"/>
    <cellWatch r="G6970"/>
    <cellWatch r="G6971"/>
    <cellWatch r="G6972"/>
    <cellWatch r="G6973"/>
    <cellWatch r="G6974"/>
    <cellWatch r="G6975"/>
    <cellWatch r="G6976"/>
    <cellWatch r="G6977"/>
    <cellWatch r="G6978"/>
    <cellWatch r="G6979"/>
    <cellWatch r="G6980"/>
    <cellWatch r="G6981"/>
    <cellWatch r="G6982"/>
    <cellWatch r="G6983"/>
    <cellWatch r="G6984"/>
    <cellWatch r="G6985"/>
    <cellWatch r="G6986"/>
    <cellWatch r="G6987"/>
    <cellWatch r="G6988"/>
    <cellWatch r="G6989"/>
    <cellWatch r="G6990"/>
    <cellWatch r="G6991"/>
    <cellWatch r="G6992"/>
    <cellWatch r="G6993"/>
    <cellWatch r="G6994"/>
    <cellWatch r="G6995"/>
    <cellWatch r="G6996"/>
    <cellWatch r="G6997"/>
    <cellWatch r="G6998"/>
    <cellWatch r="G6999"/>
    <cellWatch r="G7000"/>
    <cellWatch r="G7001"/>
    <cellWatch r="G7002"/>
    <cellWatch r="G7003"/>
    <cellWatch r="G7004"/>
    <cellWatch r="G7005"/>
    <cellWatch r="G7006"/>
    <cellWatch r="G7007"/>
    <cellWatch r="G7008"/>
    <cellWatch r="G7009"/>
    <cellWatch r="G7010"/>
    <cellWatch r="G7011"/>
    <cellWatch r="G7012"/>
    <cellWatch r="G7013"/>
    <cellWatch r="G7014"/>
    <cellWatch r="G7015"/>
    <cellWatch r="G7016"/>
    <cellWatch r="G7017"/>
    <cellWatch r="G7018"/>
    <cellWatch r="G7019"/>
    <cellWatch r="G7020"/>
    <cellWatch r="G7021"/>
    <cellWatch r="G7022"/>
    <cellWatch r="G7023"/>
    <cellWatch r="G7024"/>
    <cellWatch r="G7025"/>
    <cellWatch r="G7026"/>
    <cellWatch r="G7027"/>
    <cellWatch r="G7028"/>
    <cellWatch r="G7029"/>
    <cellWatch r="G7030"/>
    <cellWatch r="G7031"/>
    <cellWatch r="G7032"/>
    <cellWatch r="G7033"/>
    <cellWatch r="G7034"/>
    <cellWatch r="G7035"/>
    <cellWatch r="G7036"/>
    <cellWatch r="G7037"/>
    <cellWatch r="G7038"/>
    <cellWatch r="G7039"/>
    <cellWatch r="G7040"/>
    <cellWatch r="G7041"/>
    <cellWatch r="G7042"/>
    <cellWatch r="G7043"/>
    <cellWatch r="G7044"/>
    <cellWatch r="G7045"/>
    <cellWatch r="G7046"/>
    <cellWatch r="G7047"/>
    <cellWatch r="G7048"/>
    <cellWatch r="G7049"/>
    <cellWatch r="G7050"/>
    <cellWatch r="G7051"/>
    <cellWatch r="G7052"/>
    <cellWatch r="G7053"/>
    <cellWatch r="G7054"/>
    <cellWatch r="G7055"/>
    <cellWatch r="G7056"/>
    <cellWatch r="G7057"/>
    <cellWatch r="G7058"/>
    <cellWatch r="G7059"/>
    <cellWatch r="G7060"/>
    <cellWatch r="G7061"/>
    <cellWatch r="G7062"/>
    <cellWatch r="G7063"/>
    <cellWatch r="G7064"/>
    <cellWatch r="G7065"/>
    <cellWatch r="G7066"/>
    <cellWatch r="G7067"/>
    <cellWatch r="G7068"/>
    <cellWatch r="G7069"/>
    <cellWatch r="G7070"/>
    <cellWatch r="G7071"/>
    <cellWatch r="G7072"/>
    <cellWatch r="G7073"/>
    <cellWatch r="G7074"/>
    <cellWatch r="G7075"/>
    <cellWatch r="G7076"/>
    <cellWatch r="G7077"/>
    <cellWatch r="G7078"/>
    <cellWatch r="G7079"/>
    <cellWatch r="G7080"/>
    <cellWatch r="G7081"/>
    <cellWatch r="G7082"/>
    <cellWatch r="G7083"/>
    <cellWatch r="G7084"/>
    <cellWatch r="G7085"/>
    <cellWatch r="G7086"/>
    <cellWatch r="G7087"/>
    <cellWatch r="G7088"/>
    <cellWatch r="G7089"/>
    <cellWatch r="G7090"/>
    <cellWatch r="G7091"/>
    <cellWatch r="G7092"/>
    <cellWatch r="G7093"/>
    <cellWatch r="G7094"/>
    <cellWatch r="G7095"/>
    <cellWatch r="G7096"/>
    <cellWatch r="G7097"/>
    <cellWatch r="G7098"/>
    <cellWatch r="G7099"/>
    <cellWatch r="G7100"/>
    <cellWatch r="G7101"/>
    <cellWatch r="G7102"/>
    <cellWatch r="G7103"/>
    <cellWatch r="G7104"/>
    <cellWatch r="G7105"/>
    <cellWatch r="G7106"/>
    <cellWatch r="G7107"/>
    <cellWatch r="G7108"/>
    <cellWatch r="G7109"/>
    <cellWatch r="G7110"/>
    <cellWatch r="G7111"/>
    <cellWatch r="G7112"/>
    <cellWatch r="G7113"/>
    <cellWatch r="G7114"/>
    <cellWatch r="G7115"/>
    <cellWatch r="G7116"/>
    <cellWatch r="G7117"/>
    <cellWatch r="G7118"/>
    <cellWatch r="G7119"/>
    <cellWatch r="G7120"/>
    <cellWatch r="G7121"/>
    <cellWatch r="G7122"/>
    <cellWatch r="G7123"/>
    <cellWatch r="G7124"/>
    <cellWatch r="G7125"/>
    <cellWatch r="G7126"/>
    <cellWatch r="G7127"/>
    <cellWatch r="G7128"/>
    <cellWatch r="G7129"/>
    <cellWatch r="G7130"/>
    <cellWatch r="G7131"/>
    <cellWatch r="G7132"/>
    <cellWatch r="G7133"/>
    <cellWatch r="G7134"/>
    <cellWatch r="G7135"/>
    <cellWatch r="G7136"/>
    <cellWatch r="G7137"/>
    <cellWatch r="G7138"/>
    <cellWatch r="G7139"/>
    <cellWatch r="G7140"/>
    <cellWatch r="G7141"/>
    <cellWatch r="G7142"/>
    <cellWatch r="G7143"/>
    <cellWatch r="G7144"/>
    <cellWatch r="G7145"/>
    <cellWatch r="G7146"/>
    <cellWatch r="G7147"/>
    <cellWatch r="G7148"/>
    <cellWatch r="G7149"/>
    <cellWatch r="G7150"/>
    <cellWatch r="G7151"/>
    <cellWatch r="G7152"/>
    <cellWatch r="G7153"/>
    <cellWatch r="G7154"/>
    <cellWatch r="G7155"/>
    <cellWatch r="G7156"/>
    <cellWatch r="G7157"/>
    <cellWatch r="G7158"/>
    <cellWatch r="G7159"/>
    <cellWatch r="G7160"/>
    <cellWatch r="G7161"/>
    <cellWatch r="G7162"/>
    <cellWatch r="G7163"/>
    <cellWatch r="G7164"/>
    <cellWatch r="G7165"/>
    <cellWatch r="G7166"/>
    <cellWatch r="G7167"/>
    <cellWatch r="G7168"/>
    <cellWatch r="G7169"/>
    <cellWatch r="G7170"/>
    <cellWatch r="G7171"/>
    <cellWatch r="G7172"/>
    <cellWatch r="G7173"/>
    <cellWatch r="G7174"/>
    <cellWatch r="G7175"/>
    <cellWatch r="G7176"/>
    <cellWatch r="G7177"/>
    <cellWatch r="G7178"/>
    <cellWatch r="G7179"/>
    <cellWatch r="G7180"/>
    <cellWatch r="G7181"/>
    <cellWatch r="G7182"/>
    <cellWatch r="G7183"/>
    <cellWatch r="G7184"/>
    <cellWatch r="G7185"/>
    <cellWatch r="G7186"/>
    <cellWatch r="G7187"/>
    <cellWatch r="G7188"/>
    <cellWatch r="G7189"/>
    <cellWatch r="G7190"/>
    <cellWatch r="G7191"/>
    <cellWatch r="G7192"/>
    <cellWatch r="G7193"/>
    <cellWatch r="G7194"/>
    <cellWatch r="G7195"/>
    <cellWatch r="G7196"/>
    <cellWatch r="G7197"/>
    <cellWatch r="G7198"/>
    <cellWatch r="G7199"/>
    <cellWatch r="G7200"/>
    <cellWatch r="G7201"/>
    <cellWatch r="G7202"/>
    <cellWatch r="G7203"/>
    <cellWatch r="G7204"/>
    <cellWatch r="G7205"/>
    <cellWatch r="G7206"/>
    <cellWatch r="G7207"/>
    <cellWatch r="G7208"/>
    <cellWatch r="G7209"/>
    <cellWatch r="G7210"/>
    <cellWatch r="G7211"/>
    <cellWatch r="G7212"/>
    <cellWatch r="G7213"/>
    <cellWatch r="G7214"/>
    <cellWatch r="G7215"/>
    <cellWatch r="G7216"/>
    <cellWatch r="G7217"/>
    <cellWatch r="G7218"/>
    <cellWatch r="G7219"/>
    <cellWatch r="G7220"/>
    <cellWatch r="G7221"/>
    <cellWatch r="G7222"/>
    <cellWatch r="G7223"/>
    <cellWatch r="G7224"/>
    <cellWatch r="G7225"/>
    <cellWatch r="G7226"/>
    <cellWatch r="G7227"/>
    <cellWatch r="G7228"/>
    <cellWatch r="G7229"/>
    <cellWatch r="G7230"/>
    <cellWatch r="G7231"/>
    <cellWatch r="G7232"/>
    <cellWatch r="G7233"/>
    <cellWatch r="G7234"/>
    <cellWatch r="G7235"/>
    <cellWatch r="G7236"/>
    <cellWatch r="G7237"/>
    <cellWatch r="G7238"/>
    <cellWatch r="G7239"/>
    <cellWatch r="G7240"/>
    <cellWatch r="G7241"/>
    <cellWatch r="G7242"/>
    <cellWatch r="G7243"/>
    <cellWatch r="G7244"/>
    <cellWatch r="G7245"/>
    <cellWatch r="G7246"/>
    <cellWatch r="G7247"/>
    <cellWatch r="G7248"/>
    <cellWatch r="G7249"/>
    <cellWatch r="G7250"/>
    <cellWatch r="G7251"/>
    <cellWatch r="G7252"/>
    <cellWatch r="G7253"/>
    <cellWatch r="G7254"/>
    <cellWatch r="G7255"/>
    <cellWatch r="G7256"/>
    <cellWatch r="G7257"/>
    <cellWatch r="G7258"/>
    <cellWatch r="G7259"/>
    <cellWatch r="G7260"/>
    <cellWatch r="G7261"/>
    <cellWatch r="G7262"/>
    <cellWatch r="G7263"/>
    <cellWatch r="G7264"/>
    <cellWatch r="G7265"/>
    <cellWatch r="G7266"/>
    <cellWatch r="G7267"/>
    <cellWatch r="G7268"/>
    <cellWatch r="G7269"/>
    <cellWatch r="G7270"/>
    <cellWatch r="G7271"/>
    <cellWatch r="G7272"/>
    <cellWatch r="G7273"/>
    <cellWatch r="G7274"/>
    <cellWatch r="G7275"/>
    <cellWatch r="G7276"/>
    <cellWatch r="G7277"/>
    <cellWatch r="G7278"/>
    <cellWatch r="G7279"/>
    <cellWatch r="G7280"/>
    <cellWatch r="G7281"/>
    <cellWatch r="G7282"/>
    <cellWatch r="G7283"/>
    <cellWatch r="G7284"/>
    <cellWatch r="G7285"/>
    <cellWatch r="G7286"/>
    <cellWatch r="G7287"/>
    <cellWatch r="G7288"/>
    <cellWatch r="G7289"/>
    <cellWatch r="G7290"/>
    <cellWatch r="G7291"/>
    <cellWatch r="G7292"/>
    <cellWatch r="G7293"/>
    <cellWatch r="G7294"/>
    <cellWatch r="G7295"/>
    <cellWatch r="G7296"/>
    <cellWatch r="G7297"/>
    <cellWatch r="G7298"/>
    <cellWatch r="G7299"/>
    <cellWatch r="G7300"/>
    <cellWatch r="G7301"/>
    <cellWatch r="G7302"/>
    <cellWatch r="G7303"/>
    <cellWatch r="G7304"/>
    <cellWatch r="G7305"/>
    <cellWatch r="G7306"/>
    <cellWatch r="G7307"/>
    <cellWatch r="G7308"/>
    <cellWatch r="G7309"/>
    <cellWatch r="G7310"/>
    <cellWatch r="G7311"/>
    <cellWatch r="G7312"/>
    <cellWatch r="G7313"/>
    <cellWatch r="G7314"/>
    <cellWatch r="G7315"/>
    <cellWatch r="G7316"/>
    <cellWatch r="G7317"/>
    <cellWatch r="G7318"/>
    <cellWatch r="G7319"/>
    <cellWatch r="G7320"/>
    <cellWatch r="G7321"/>
    <cellWatch r="G7322"/>
    <cellWatch r="G7323"/>
    <cellWatch r="G7324"/>
    <cellWatch r="G7325"/>
    <cellWatch r="G7326"/>
    <cellWatch r="G7327"/>
    <cellWatch r="G7328"/>
    <cellWatch r="G7329"/>
    <cellWatch r="G7330"/>
    <cellWatch r="G7331"/>
    <cellWatch r="G7332"/>
    <cellWatch r="G7333"/>
    <cellWatch r="G7334"/>
    <cellWatch r="G7335"/>
    <cellWatch r="G7336"/>
    <cellWatch r="G7337"/>
    <cellWatch r="G7338"/>
    <cellWatch r="G7339"/>
    <cellWatch r="G7340"/>
    <cellWatch r="G7341"/>
    <cellWatch r="G7342"/>
    <cellWatch r="G7343"/>
    <cellWatch r="G7344"/>
    <cellWatch r="G7345"/>
    <cellWatch r="G7346"/>
    <cellWatch r="G7347"/>
    <cellWatch r="G7348"/>
    <cellWatch r="G7349"/>
    <cellWatch r="G7350"/>
    <cellWatch r="G7351"/>
    <cellWatch r="G7352"/>
    <cellWatch r="G7353"/>
    <cellWatch r="G7354"/>
    <cellWatch r="G7355"/>
    <cellWatch r="G7356"/>
    <cellWatch r="G7357"/>
    <cellWatch r="G7358"/>
    <cellWatch r="G7359"/>
    <cellWatch r="G7360"/>
    <cellWatch r="G7361"/>
    <cellWatch r="G7362"/>
    <cellWatch r="G7363"/>
    <cellWatch r="G7364"/>
    <cellWatch r="G7365"/>
    <cellWatch r="G7366"/>
    <cellWatch r="G7367"/>
    <cellWatch r="G7368"/>
    <cellWatch r="G7369"/>
    <cellWatch r="G7370"/>
    <cellWatch r="G7371"/>
    <cellWatch r="G7372"/>
    <cellWatch r="G7373"/>
    <cellWatch r="G7374"/>
    <cellWatch r="G7375"/>
    <cellWatch r="G7376"/>
    <cellWatch r="G7377"/>
    <cellWatch r="G7378"/>
    <cellWatch r="G7379"/>
    <cellWatch r="G7380"/>
    <cellWatch r="G7381"/>
    <cellWatch r="G7382"/>
    <cellWatch r="G7383"/>
    <cellWatch r="G7384"/>
    <cellWatch r="G7385"/>
    <cellWatch r="G7386"/>
    <cellWatch r="G7387"/>
    <cellWatch r="G7388"/>
    <cellWatch r="G7389"/>
    <cellWatch r="G7390"/>
    <cellWatch r="G7391"/>
    <cellWatch r="G7392"/>
    <cellWatch r="G7393"/>
    <cellWatch r="G7394"/>
    <cellWatch r="G7395"/>
    <cellWatch r="G7396"/>
    <cellWatch r="G7397"/>
    <cellWatch r="G7398"/>
    <cellWatch r="G7399"/>
    <cellWatch r="G7400"/>
    <cellWatch r="G7401"/>
    <cellWatch r="G7402"/>
    <cellWatch r="G7403"/>
    <cellWatch r="G7404"/>
    <cellWatch r="G7405"/>
    <cellWatch r="G7406"/>
    <cellWatch r="G7407"/>
    <cellWatch r="G7408"/>
    <cellWatch r="G7409"/>
    <cellWatch r="G7410"/>
    <cellWatch r="G7411"/>
    <cellWatch r="G7412"/>
    <cellWatch r="G7413"/>
    <cellWatch r="G7414"/>
    <cellWatch r="G7415"/>
    <cellWatch r="G7416"/>
    <cellWatch r="G7417"/>
    <cellWatch r="G7418"/>
    <cellWatch r="G7419"/>
    <cellWatch r="G7420"/>
    <cellWatch r="G7421"/>
    <cellWatch r="G7422"/>
    <cellWatch r="G7423"/>
    <cellWatch r="G7424"/>
    <cellWatch r="G7425"/>
    <cellWatch r="G7426"/>
    <cellWatch r="G7427"/>
    <cellWatch r="G7428"/>
    <cellWatch r="G7429"/>
    <cellWatch r="G7430"/>
    <cellWatch r="G7431"/>
    <cellWatch r="G7432"/>
    <cellWatch r="G7433"/>
    <cellWatch r="G7434"/>
    <cellWatch r="G7435"/>
    <cellWatch r="G7436"/>
    <cellWatch r="G7437"/>
    <cellWatch r="G7438"/>
    <cellWatch r="G7439"/>
    <cellWatch r="G7440"/>
    <cellWatch r="G7441"/>
    <cellWatch r="G7442"/>
    <cellWatch r="G7443"/>
    <cellWatch r="G7444"/>
    <cellWatch r="G7445"/>
    <cellWatch r="G7446"/>
    <cellWatch r="G7447"/>
    <cellWatch r="G7448"/>
    <cellWatch r="G7449"/>
    <cellWatch r="G7450"/>
    <cellWatch r="G7451"/>
    <cellWatch r="G7452"/>
    <cellWatch r="G7453"/>
    <cellWatch r="G7454"/>
    <cellWatch r="G7455"/>
    <cellWatch r="G7456"/>
    <cellWatch r="G7457"/>
    <cellWatch r="G7458"/>
    <cellWatch r="G7459"/>
    <cellWatch r="G7460"/>
    <cellWatch r="G7461"/>
    <cellWatch r="G7462"/>
    <cellWatch r="G7463"/>
    <cellWatch r="G7464"/>
    <cellWatch r="G7465"/>
    <cellWatch r="G7466"/>
    <cellWatch r="G7467"/>
    <cellWatch r="G7468"/>
    <cellWatch r="G7469"/>
    <cellWatch r="G7470"/>
    <cellWatch r="G7471"/>
    <cellWatch r="G7472"/>
    <cellWatch r="G7473"/>
    <cellWatch r="G7474"/>
    <cellWatch r="G7475"/>
    <cellWatch r="G7476"/>
    <cellWatch r="G7477"/>
    <cellWatch r="G7478"/>
    <cellWatch r="G7479"/>
    <cellWatch r="G7480"/>
    <cellWatch r="G7481"/>
    <cellWatch r="G7482"/>
    <cellWatch r="G7483"/>
    <cellWatch r="G7484"/>
    <cellWatch r="G7485"/>
    <cellWatch r="G7486"/>
    <cellWatch r="G7487"/>
    <cellWatch r="G7488"/>
    <cellWatch r="G7489"/>
    <cellWatch r="G7490"/>
    <cellWatch r="G7491"/>
    <cellWatch r="G7492"/>
    <cellWatch r="G7493"/>
    <cellWatch r="G7494"/>
    <cellWatch r="G7495"/>
    <cellWatch r="G7496"/>
    <cellWatch r="G7497"/>
    <cellWatch r="G7498"/>
    <cellWatch r="G7499"/>
    <cellWatch r="G7500"/>
    <cellWatch r="G7501"/>
    <cellWatch r="G7502"/>
    <cellWatch r="G7503"/>
    <cellWatch r="G7504"/>
    <cellWatch r="G7505"/>
    <cellWatch r="G7506"/>
    <cellWatch r="G7507"/>
    <cellWatch r="G7508"/>
    <cellWatch r="G7509"/>
    <cellWatch r="G7510"/>
    <cellWatch r="G7511"/>
    <cellWatch r="G7512"/>
    <cellWatch r="G7513"/>
    <cellWatch r="G7514"/>
    <cellWatch r="G7515"/>
    <cellWatch r="G7516"/>
    <cellWatch r="G7517"/>
    <cellWatch r="G7518"/>
    <cellWatch r="G7519"/>
    <cellWatch r="G7520"/>
    <cellWatch r="G7521"/>
    <cellWatch r="G7522"/>
    <cellWatch r="G7523"/>
    <cellWatch r="G7524"/>
    <cellWatch r="G7525"/>
    <cellWatch r="G7526"/>
    <cellWatch r="G7527"/>
    <cellWatch r="G7528"/>
    <cellWatch r="G7529"/>
    <cellWatch r="G7530"/>
    <cellWatch r="G7531"/>
    <cellWatch r="G7532"/>
    <cellWatch r="G7533"/>
    <cellWatch r="G7534"/>
    <cellWatch r="G7535"/>
    <cellWatch r="G7536"/>
    <cellWatch r="G7537"/>
    <cellWatch r="G7538"/>
    <cellWatch r="G7539"/>
    <cellWatch r="G7540"/>
    <cellWatch r="G7541"/>
    <cellWatch r="G7542"/>
    <cellWatch r="G7543"/>
    <cellWatch r="G7544"/>
    <cellWatch r="G7545"/>
    <cellWatch r="G7546"/>
    <cellWatch r="G7547"/>
    <cellWatch r="G7548"/>
    <cellWatch r="G7549"/>
    <cellWatch r="G7550"/>
    <cellWatch r="G7551"/>
    <cellWatch r="G7552"/>
    <cellWatch r="G7553"/>
    <cellWatch r="G7554"/>
    <cellWatch r="G7555"/>
    <cellWatch r="G7556"/>
    <cellWatch r="G7557"/>
    <cellWatch r="G7558"/>
    <cellWatch r="G7559"/>
    <cellWatch r="G7560"/>
    <cellWatch r="G7561"/>
    <cellWatch r="G7562"/>
    <cellWatch r="G7563"/>
    <cellWatch r="G7564"/>
    <cellWatch r="G7565"/>
    <cellWatch r="G7566"/>
    <cellWatch r="G7567"/>
    <cellWatch r="G7568"/>
    <cellWatch r="G7569"/>
    <cellWatch r="G7570"/>
    <cellWatch r="G7571"/>
    <cellWatch r="G7572"/>
    <cellWatch r="G7573"/>
    <cellWatch r="G7574"/>
    <cellWatch r="G7575"/>
    <cellWatch r="G7576"/>
    <cellWatch r="G7577"/>
    <cellWatch r="G7578"/>
    <cellWatch r="G7579"/>
    <cellWatch r="G7580"/>
    <cellWatch r="G7581"/>
    <cellWatch r="G7582"/>
    <cellWatch r="G7583"/>
    <cellWatch r="G7584"/>
    <cellWatch r="G7585"/>
    <cellWatch r="G7586"/>
    <cellWatch r="G7587"/>
    <cellWatch r="G7588"/>
    <cellWatch r="G7589"/>
    <cellWatch r="G7590"/>
    <cellWatch r="G7591"/>
    <cellWatch r="G7592"/>
    <cellWatch r="G7593"/>
    <cellWatch r="G7594"/>
    <cellWatch r="G7595"/>
    <cellWatch r="G7596"/>
    <cellWatch r="G7597"/>
    <cellWatch r="G7598"/>
    <cellWatch r="G7599"/>
    <cellWatch r="G7600"/>
    <cellWatch r="G7601"/>
    <cellWatch r="G7602"/>
    <cellWatch r="G7603"/>
    <cellWatch r="G7604"/>
    <cellWatch r="G7605"/>
    <cellWatch r="G7606"/>
    <cellWatch r="G7607"/>
    <cellWatch r="G7608"/>
    <cellWatch r="G7609"/>
    <cellWatch r="G7610"/>
    <cellWatch r="G7611"/>
    <cellWatch r="G7612"/>
    <cellWatch r="G7613"/>
    <cellWatch r="G7614"/>
    <cellWatch r="G7615"/>
    <cellWatch r="G7616"/>
    <cellWatch r="G7617"/>
    <cellWatch r="G7618"/>
    <cellWatch r="G7619"/>
    <cellWatch r="G7620"/>
    <cellWatch r="G7621"/>
    <cellWatch r="G7622"/>
    <cellWatch r="G7623"/>
    <cellWatch r="G7624"/>
    <cellWatch r="G7625"/>
    <cellWatch r="G7626"/>
    <cellWatch r="G7627"/>
    <cellWatch r="G7628"/>
    <cellWatch r="G7629"/>
    <cellWatch r="G7630"/>
    <cellWatch r="G7631"/>
    <cellWatch r="G7632"/>
    <cellWatch r="G7633"/>
    <cellWatch r="G7634"/>
    <cellWatch r="G7635"/>
    <cellWatch r="G7636"/>
    <cellWatch r="G7637"/>
    <cellWatch r="G7638"/>
    <cellWatch r="G7639"/>
    <cellWatch r="G7640"/>
    <cellWatch r="G7641"/>
    <cellWatch r="G7642"/>
    <cellWatch r="G7643"/>
    <cellWatch r="G7644"/>
    <cellWatch r="G7645"/>
    <cellWatch r="G7646"/>
    <cellWatch r="G7647"/>
    <cellWatch r="G7648"/>
    <cellWatch r="G7649"/>
    <cellWatch r="G7650"/>
    <cellWatch r="G7651"/>
    <cellWatch r="G7652"/>
    <cellWatch r="G7653"/>
    <cellWatch r="G7654"/>
    <cellWatch r="G7655"/>
    <cellWatch r="G7656"/>
    <cellWatch r="G7657"/>
    <cellWatch r="G7658"/>
    <cellWatch r="G7659"/>
    <cellWatch r="G7660"/>
    <cellWatch r="G7661"/>
    <cellWatch r="G7662"/>
    <cellWatch r="G7663"/>
    <cellWatch r="G7664"/>
    <cellWatch r="G7665"/>
    <cellWatch r="G7666"/>
    <cellWatch r="G7667"/>
    <cellWatch r="G7668"/>
    <cellWatch r="G7669"/>
    <cellWatch r="G7670"/>
    <cellWatch r="G7671"/>
    <cellWatch r="G7672"/>
    <cellWatch r="G7673"/>
    <cellWatch r="G7674"/>
    <cellWatch r="G7675"/>
    <cellWatch r="G7676"/>
    <cellWatch r="G7677"/>
    <cellWatch r="G7678"/>
    <cellWatch r="G7679"/>
    <cellWatch r="G7680"/>
    <cellWatch r="G7681"/>
    <cellWatch r="G7682"/>
    <cellWatch r="G7683"/>
    <cellWatch r="G7684"/>
    <cellWatch r="G7685"/>
    <cellWatch r="G7686"/>
    <cellWatch r="G7687"/>
    <cellWatch r="G7688"/>
    <cellWatch r="G7689"/>
    <cellWatch r="G7690"/>
    <cellWatch r="G7691"/>
    <cellWatch r="G7692"/>
    <cellWatch r="G7693"/>
    <cellWatch r="G7694"/>
    <cellWatch r="G7695"/>
    <cellWatch r="G7696"/>
    <cellWatch r="G7697"/>
    <cellWatch r="G7698"/>
    <cellWatch r="G7699"/>
    <cellWatch r="G7700"/>
    <cellWatch r="G7701"/>
    <cellWatch r="G7702"/>
    <cellWatch r="G7703"/>
    <cellWatch r="G7704"/>
    <cellWatch r="G7705"/>
    <cellWatch r="G7706"/>
    <cellWatch r="G7707"/>
    <cellWatch r="G7708"/>
    <cellWatch r="G7709"/>
    <cellWatch r="G7710"/>
    <cellWatch r="G7711"/>
    <cellWatch r="G7712"/>
    <cellWatch r="G7713"/>
    <cellWatch r="G7714"/>
    <cellWatch r="G7715"/>
    <cellWatch r="G7716"/>
    <cellWatch r="G7717"/>
    <cellWatch r="G7718"/>
    <cellWatch r="G7719"/>
    <cellWatch r="G7720"/>
    <cellWatch r="G7721"/>
    <cellWatch r="G7722"/>
    <cellWatch r="G7723"/>
    <cellWatch r="G7724"/>
    <cellWatch r="G7725"/>
    <cellWatch r="G7726"/>
    <cellWatch r="G7727"/>
    <cellWatch r="G7728"/>
    <cellWatch r="G7729"/>
    <cellWatch r="G7730"/>
    <cellWatch r="G7731"/>
    <cellWatch r="G7732"/>
    <cellWatch r="G7733"/>
    <cellWatch r="G7734"/>
    <cellWatch r="G7735"/>
    <cellWatch r="G7736"/>
    <cellWatch r="G7737"/>
    <cellWatch r="G7738"/>
    <cellWatch r="G7739"/>
    <cellWatch r="G7740"/>
    <cellWatch r="G7741"/>
    <cellWatch r="G7742"/>
    <cellWatch r="G7743"/>
    <cellWatch r="G7744"/>
    <cellWatch r="G7745"/>
    <cellWatch r="G7746"/>
    <cellWatch r="G7747"/>
    <cellWatch r="G7748"/>
    <cellWatch r="G7749"/>
    <cellWatch r="G7750"/>
    <cellWatch r="G7751"/>
    <cellWatch r="G7752"/>
    <cellWatch r="G7753"/>
    <cellWatch r="G7754"/>
    <cellWatch r="G7755"/>
    <cellWatch r="G7756"/>
    <cellWatch r="G7757"/>
    <cellWatch r="G7758"/>
    <cellWatch r="G7759"/>
    <cellWatch r="G7760"/>
    <cellWatch r="G7761"/>
    <cellWatch r="G7762"/>
    <cellWatch r="G7763"/>
    <cellWatch r="G7764"/>
    <cellWatch r="G7765"/>
    <cellWatch r="G7766"/>
    <cellWatch r="G7767"/>
    <cellWatch r="G7768"/>
    <cellWatch r="G7769"/>
    <cellWatch r="G7770"/>
    <cellWatch r="G7771"/>
    <cellWatch r="G7772"/>
    <cellWatch r="G7773"/>
    <cellWatch r="G7774"/>
    <cellWatch r="G7775"/>
    <cellWatch r="G7776"/>
    <cellWatch r="G7777"/>
    <cellWatch r="G7778"/>
    <cellWatch r="G7779"/>
    <cellWatch r="G7780"/>
    <cellWatch r="G7781"/>
    <cellWatch r="G7782"/>
    <cellWatch r="G7783"/>
    <cellWatch r="G7784"/>
    <cellWatch r="G7785"/>
    <cellWatch r="G7786"/>
    <cellWatch r="G7787"/>
    <cellWatch r="G7788"/>
    <cellWatch r="G7789"/>
    <cellWatch r="G7790"/>
    <cellWatch r="G7791"/>
    <cellWatch r="G7792"/>
    <cellWatch r="G7793"/>
    <cellWatch r="G7794"/>
    <cellWatch r="G7795"/>
    <cellWatch r="G7796"/>
    <cellWatch r="G7797"/>
    <cellWatch r="G7798"/>
    <cellWatch r="G7799"/>
    <cellWatch r="G7800"/>
    <cellWatch r="G7801"/>
    <cellWatch r="G7802"/>
    <cellWatch r="G7803"/>
    <cellWatch r="G7804"/>
    <cellWatch r="G7805"/>
    <cellWatch r="G7806"/>
    <cellWatch r="G7807"/>
    <cellWatch r="G7808"/>
    <cellWatch r="G7809"/>
    <cellWatch r="G7810"/>
    <cellWatch r="G7811"/>
    <cellWatch r="G7812"/>
    <cellWatch r="G7813"/>
    <cellWatch r="G7814"/>
    <cellWatch r="G7815"/>
    <cellWatch r="G7816"/>
    <cellWatch r="G7817"/>
    <cellWatch r="G7818"/>
    <cellWatch r="G7819"/>
    <cellWatch r="G7820"/>
    <cellWatch r="G7821"/>
    <cellWatch r="G7822"/>
    <cellWatch r="G7823"/>
    <cellWatch r="G7824"/>
    <cellWatch r="G7825"/>
    <cellWatch r="G7826"/>
    <cellWatch r="G7827"/>
    <cellWatch r="G7828"/>
    <cellWatch r="G7829"/>
    <cellWatch r="G7830"/>
    <cellWatch r="G7831"/>
    <cellWatch r="G7832"/>
    <cellWatch r="G7833"/>
    <cellWatch r="G7834"/>
    <cellWatch r="G7835"/>
    <cellWatch r="G7836"/>
    <cellWatch r="G7837"/>
    <cellWatch r="G7838"/>
    <cellWatch r="G7839"/>
    <cellWatch r="G7840"/>
    <cellWatch r="G7841"/>
    <cellWatch r="G7842"/>
    <cellWatch r="G7843"/>
    <cellWatch r="G7844"/>
    <cellWatch r="G7845"/>
    <cellWatch r="G7846"/>
    <cellWatch r="G7847"/>
    <cellWatch r="G7848"/>
    <cellWatch r="G7849"/>
    <cellWatch r="G7850"/>
    <cellWatch r="G7851"/>
    <cellWatch r="G7852"/>
    <cellWatch r="G7853"/>
    <cellWatch r="G7854"/>
    <cellWatch r="G7855"/>
    <cellWatch r="G7856"/>
    <cellWatch r="G7857"/>
    <cellWatch r="G7858"/>
    <cellWatch r="G7859"/>
    <cellWatch r="G7860"/>
    <cellWatch r="G7861"/>
    <cellWatch r="G7862"/>
    <cellWatch r="G7863"/>
    <cellWatch r="G7864"/>
    <cellWatch r="G7865"/>
    <cellWatch r="G7866"/>
    <cellWatch r="G7867"/>
    <cellWatch r="G7868"/>
    <cellWatch r="G7869"/>
    <cellWatch r="G7870"/>
    <cellWatch r="G7871"/>
    <cellWatch r="G7872"/>
    <cellWatch r="G7873"/>
    <cellWatch r="G7874"/>
    <cellWatch r="G7875"/>
    <cellWatch r="G7876"/>
    <cellWatch r="G7877"/>
    <cellWatch r="G7878"/>
    <cellWatch r="G7879"/>
    <cellWatch r="G7880"/>
    <cellWatch r="G7881"/>
    <cellWatch r="G7882"/>
    <cellWatch r="G7883"/>
    <cellWatch r="G7884"/>
    <cellWatch r="G7885"/>
    <cellWatch r="G7886"/>
    <cellWatch r="G7887"/>
    <cellWatch r="G7888"/>
    <cellWatch r="G7889"/>
    <cellWatch r="G7890"/>
    <cellWatch r="G7891"/>
    <cellWatch r="G7892"/>
    <cellWatch r="G7893"/>
    <cellWatch r="G7894"/>
    <cellWatch r="G7895"/>
    <cellWatch r="G7896"/>
    <cellWatch r="G7897"/>
    <cellWatch r="G7898"/>
    <cellWatch r="G7899"/>
    <cellWatch r="G7900"/>
    <cellWatch r="G7901"/>
    <cellWatch r="G7902"/>
    <cellWatch r="G7903"/>
    <cellWatch r="G7904"/>
    <cellWatch r="G7905"/>
    <cellWatch r="G7906"/>
    <cellWatch r="G7907"/>
    <cellWatch r="G7908"/>
    <cellWatch r="G7909"/>
    <cellWatch r="G7910"/>
    <cellWatch r="G7911"/>
    <cellWatch r="G7912"/>
    <cellWatch r="G7913"/>
    <cellWatch r="G7914"/>
    <cellWatch r="G7915"/>
    <cellWatch r="G7916"/>
    <cellWatch r="G7917"/>
    <cellWatch r="G7918"/>
    <cellWatch r="G7919"/>
    <cellWatch r="G7920"/>
    <cellWatch r="G7921"/>
    <cellWatch r="G7922"/>
    <cellWatch r="G7923"/>
    <cellWatch r="G7924"/>
    <cellWatch r="G7925"/>
    <cellWatch r="G7926"/>
    <cellWatch r="G7927"/>
    <cellWatch r="G7928"/>
    <cellWatch r="G7929"/>
    <cellWatch r="G7930"/>
    <cellWatch r="G7931"/>
    <cellWatch r="G7932"/>
    <cellWatch r="G7933"/>
    <cellWatch r="G7934"/>
    <cellWatch r="G7935"/>
    <cellWatch r="G7936"/>
    <cellWatch r="G7937"/>
    <cellWatch r="G7938"/>
    <cellWatch r="G7939"/>
    <cellWatch r="G7940"/>
    <cellWatch r="G7941"/>
    <cellWatch r="G7942"/>
    <cellWatch r="G7943"/>
    <cellWatch r="G7944"/>
    <cellWatch r="G7945"/>
    <cellWatch r="G7946"/>
    <cellWatch r="G7947"/>
    <cellWatch r="G7948"/>
    <cellWatch r="G7949"/>
    <cellWatch r="G7950"/>
    <cellWatch r="G7951"/>
    <cellWatch r="G7952"/>
    <cellWatch r="G7953"/>
    <cellWatch r="G7954"/>
    <cellWatch r="G7955"/>
    <cellWatch r="G7956"/>
    <cellWatch r="G7957"/>
    <cellWatch r="G7958"/>
    <cellWatch r="G7959"/>
    <cellWatch r="G7960"/>
    <cellWatch r="G7961"/>
    <cellWatch r="G7962"/>
    <cellWatch r="G7963"/>
    <cellWatch r="G7964"/>
    <cellWatch r="G7965"/>
    <cellWatch r="G7966"/>
    <cellWatch r="G7967"/>
    <cellWatch r="G7968"/>
    <cellWatch r="G7969"/>
    <cellWatch r="G7970"/>
    <cellWatch r="G7971"/>
    <cellWatch r="G7972"/>
    <cellWatch r="G7973"/>
    <cellWatch r="G7974"/>
    <cellWatch r="G7975"/>
    <cellWatch r="G7976"/>
    <cellWatch r="G7977"/>
    <cellWatch r="G7978"/>
    <cellWatch r="G7979"/>
    <cellWatch r="G7980"/>
    <cellWatch r="G7981"/>
    <cellWatch r="G7982"/>
    <cellWatch r="G7983"/>
    <cellWatch r="G7984"/>
    <cellWatch r="G7985"/>
    <cellWatch r="G7986"/>
    <cellWatch r="G7987"/>
    <cellWatch r="G7988"/>
    <cellWatch r="G7989"/>
    <cellWatch r="G7990"/>
    <cellWatch r="G7991"/>
    <cellWatch r="G7992"/>
    <cellWatch r="G7993"/>
    <cellWatch r="G7994"/>
    <cellWatch r="G7995"/>
    <cellWatch r="G7996"/>
    <cellWatch r="G7997"/>
    <cellWatch r="G7998"/>
    <cellWatch r="G7999"/>
    <cellWatch r="G8000"/>
    <cellWatch r="G8001"/>
    <cellWatch r="G8002"/>
    <cellWatch r="G8003"/>
    <cellWatch r="G8004"/>
    <cellWatch r="G8005"/>
    <cellWatch r="G8006"/>
    <cellWatch r="G8007"/>
    <cellWatch r="G8008"/>
    <cellWatch r="G8009"/>
    <cellWatch r="G8010"/>
    <cellWatch r="G8011"/>
    <cellWatch r="G8012"/>
    <cellWatch r="G8013"/>
    <cellWatch r="G8014"/>
    <cellWatch r="G8015"/>
    <cellWatch r="G8016"/>
    <cellWatch r="G8017"/>
    <cellWatch r="G8018"/>
    <cellWatch r="G8019"/>
    <cellWatch r="G8020"/>
    <cellWatch r="G8021"/>
    <cellWatch r="G8022"/>
    <cellWatch r="G8023"/>
    <cellWatch r="G8024"/>
    <cellWatch r="G8025"/>
    <cellWatch r="G8026"/>
    <cellWatch r="G8027"/>
    <cellWatch r="G8028"/>
    <cellWatch r="G8029"/>
    <cellWatch r="G8030"/>
    <cellWatch r="G8031"/>
    <cellWatch r="G8032"/>
    <cellWatch r="G8033"/>
    <cellWatch r="G8034"/>
    <cellWatch r="G8035"/>
    <cellWatch r="G8036"/>
    <cellWatch r="G8037"/>
    <cellWatch r="G8038"/>
    <cellWatch r="G8039"/>
    <cellWatch r="G8040"/>
    <cellWatch r="G8041"/>
    <cellWatch r="G8042"/>
    <cellWatch r="G8043"/>
    <cellWatch r="G8044"/>
    <cellWatch r="G8045"/>
    <cellWatch r="G8046"/>
    <cellWatch r="G8047"/>
    <cellWatch r="G8048"/>
    <cellWatch r="G8049"/>
    <cellWatch r="G8050"/>
    <cellWatch r="G8051"/>
    <cellWatch r="G8052"/>
    <cellWatch r="G8053"/>
    <cellWatch r="G8054"/>
    <cellWatch r="G8055"/>
    <cellWatch r="G8056"/>
    <cellWatch r="G8057"/>
    <cellWatch r="G8058"/>
    <cellWatch r="G8059"/>
    <cellWatch r="G8060"/>
    <cellWatch r="G8061"/>
    <cellWatch r="G8062"/>
    <cellWatch r="G8063"/>
    <cellWatch r="G8064"/>
    <cellWatch r="G8065"/>
    <cellWatch r="G8066"/>
    <cellWatch r="G8067"/>
    <cellWatch r="G8068"/>
    <cellWatch r="G8069"/>
    <cellWatch r="G8070"/>
    <cellWatch r="G8071"/>
    <cellWatch r="G8072"/>
    <cellWatch r="G8073"/>
    <cellWatch r="G8074"/>
    <cellWatch r="G8075"/>
    <cellWatch r="G8076"/>
    <cellWatch r="G8077"/>
    <cellWatch r="G8078"/>
    <cellWatch r="G8079"/>
    <cellWatch r="G8080"/>
    <cellWatch r="G8081"/>
    <cellWatch r="G8082"/>
    <cellWatch r="G8083"/>
    <cellWatch r="G8084"/>
    <cellWatch r="G8085"/>
    <cellWatch r="G8086"/>
    <cellWatch r="G8087"/>
    <cellWatch r="G8088"/>
    <cellWatch r="G8089"/>
    <cellWatch r="G8090"/>
    <cellWatch r="G8091"/>
    <cellWatch r="G8092"/>
    <cellWatch r="G8093"/>
    <cellWatch r="G8094"/>
    <cellWatch r="G8095"/>
    <cellWatch r="G8096"/>
    <cellWatch r="G8097"/>
    <cellWatch r="G8098"/>
    <cellWatch r="G8099"/>
    <cellWatch r="G8100"/>
    <cellWatch r="G8101"/>
    <cellWatch r="G8102"/>
    <cellWatch r="G8103"/>
    <cellWatch r="G8104"/>
    <cellWatch r="G8105"/>
    <cellWatch r="G8106"/>
    <cellWatch r="G8107"/>
    <cellWatch r="G8108"/>
    <cellWatch r="G8109"/>
    <cellWatch r="G8110"/>
    <cellWatch r="G8111"/>
    <cellWatch r="G8112"/>
    <cellWatch r="G8113"/>
    <cellWatch r="G8114"/>
    <cellWatch r="G8115"/>
    <cellWatch r="G8116"/>
    <cellWatch r="G8117"/>
    <cellWatch r="G8118"/>
    <cellWatch r="G8119"/>
    <cellWatch r="G8120"/>
    <cellWatch r="G8121"/>
    <cellWatch r="G8122"/>
    <cellWatch r="G8123"/>
    <cellWatch r="G8124"/>
    <cellWatch r="G8125"/>
    <cellWatch r="G8126"/>
    <cellWatch r="G8127"/>
    <cellWatch r="G8128"/>
    <cellWatch r="G8129"/>
    <cellWatch r="G8130"/>
    <cellWatch r="G8131"/>
    <cellWatch r="G8132"/>
    <cellWatch r="G8133"/>
    <cellWatch r="G8134"/>
    <cellWatch r="G8135"/>
    <cellWatch r="G8136"/>
    <cellWatch r="G8137"/>
    <cellWatch r="G8138"/>
    <cellWatch r="G8139"/>
    <cellWatch r="G8140"/>
    <cellWatch r="G8141"/>
    <cellWatch r="G8142"/>
    <cellWatch r="G8143"/>
    <cellWatch r="G8144"/>
    <cellWatch r="G8145"/>
    <cellWatch r="G8146"/>
    <cellWatch r="G8147"/>
    <cellWatch r="G8148"/>
    <cellWatch r="G8149"/>
    <cellWatch r="G8150"/>
    <cellWatch r="G8151"/>
    <cellWatch r="G8152"/>
    <cellWatch r="G8153"/>
    <cellWatch r="G8154"/>
    <cellWatch r="G8155"/>
    <cellWatch r="G8156"/>
    <cellWatch r="G8157"/>
    <cellWatch r="G8158"/>
    <cellWatch r="G8159"/>
    <cellWatch r="G8160"/>
    <cellWatch r="G8161"/>
    <cellWatch r="G8162"/>
    <cellWatch r="G8163"/>
    <cellWatch r="G8164"/>
    <cellWatch r="G8165"/>
    <cellWatch r="G8166"/>
    <cellWatch r="G8167"/>
    <cellWatch r="G8168"/>
    <cellWatch r="G8169"/>
    <cellWatch r="G8170"/>
    <cellWatch r="G8171"/>
    <cellWatch r="G8172"/>
    <cellWatch r="G8173"/>
    <cellWatch r="G8174"/>
    <cellWatch r="G8175"/>
    <cellWatch r="G8176"/>
    <cellWatch r="G8177"/>
    <cellWatch r="G8178"/>
    <cellWatch r="G8179"/>
    <cellWatch r="G8180"/>
    <cellWatch r="G8181"/>
    <cellWatch r="G8182"/>
    <cellWatch r="G8183"/>
    <cellWatch r="G8184"/>
    <cellWatch r="G8185"/>
    <cellWatch r="G8186"/>
    <cellWatch r="G8187"/>
    <cellWatch r="G8188"/>
    <cellWatch r="G8189"/>
    <cellWatch r="G8190"/>
    <cellWatch r="G8191"/>
    <cellWatch r="G8192"/>
    <cellWatch r="G8193"/>
    <cellWatch r="G8194"/>
    <cellWatch r="G8195"/>
    <cellWatch r="G8196"/>
    <cellWatch r="G8197"/>
    <cellWatch r="G8198"/>
    <cellWatch r="G8199"/>
    <cellWatch r="G8200"/>
    <cellWatch r="G8201"/>
    <cellWatch r="G8202"/>
    <cellWatch r="G8203"/>
    <cellWatch r="G8204"/>
    <cellWatch r="G8205"/>
    <cellWatch r="G8206"/>
    <cellWatch r="G8207"/>
    <cellWatch r="G8208"/>
    <cellWatch r="G8209"/>
    <cellWatch r="G8210"/>
    <cellWatch r="G8211"/>
    <cellWatch r="G8212"/>
    <cellWatch r="G8213"/>
    <cellWatch r="G8214"/>
    <cellWatch r="G8215"/>
    <cellWatch r="G8216"/>
    <cellWatch r="G8217"/>
    <cellWatch r="G8218"/>
    <cellWatch r="G8219"/>
    <cellWatch r="G8220"/>
    <cellWatch r="G8221"/>
    <cellWatch r="G8222"/>
    <cellWatch r="G8223"/>
    <cellWatch r="G8224"/>
    <cellWatch r="G8225"/>
    <cellWatch r="G8226"/>
    <cellWatch r="G8227"/>
    <cellWatch r="G8228"/>
    <cellWatch r="G8229"/>
    <cellWatch r="G8230"/>
    <cellWatch r="G8231"/>
    <cellWatch r="G8232"/>
    <cellWatch r="G8233"/>
    <cellWatch r="G8234"/>
    <cellWatch r="G8235"/>
    <cellWatch r="G8236"/>
    <cellWatch r="G8237"/>
    <cellWatch r="G8238"/>
    <cellWatch r="G8239"/>
    <cellWatch r="G8240"/>
    <cellWatch r="G8241"/>
    <cellWatch r="G8242"/>
    <cellWatch r="G8243"/>
    <cellWatch r="G8244"/>
    <cellWatch r="G8245"/>
    <cellWatch r="G8246"/>
    <cellWatch r="G8247"/>
    <cellWatch r="G8248"/>
    <cellWatch r="G8249"/>
    <cellWatch r="G8250"/>
    <cellWatch r="G8251"/>
    <cellWatch r="G8252"/>
    <cellWatch r="G8253"/>
    <cellWatch r="G8254"/>
    <cellWatch r="G8255"/>
    <cellWatch r="G8256"/>
    <cellWatch r="G8257"/>
    <cellWatch r="G8258"/>
    <cellWatch r="G8259"/>
    <cellWatch r="G8260"/>
    <cellWatch r="G8261"/>
    <cellWatch r="G8262"/>
    <cellWatch r="G8263"/>
    <cellWatch r="G8264"/>
    <cellWatch r="G8265"/>
    <cellWatch r="G8266"/>
    <cellWatch r="G8267"/>
    <cellWatch r="G8268"/>
    <cellWatch r="G8269"/>
    <cellWatch r="G8270"/>
    <cellWatch r="G8271"/>
    <cellWatch r="G8272"/>
    <cellWatch r="G8273"/>
    <cellWatch r="G8274"/>
    <cellWatch r="G8275"/>
    <cellWatch r="G8276"/>
    <cellWatch r="G8277"/>
    <cellWatch r="G8278"/>
    <cellWatch r="G8279"/>
    <cellWatch r="G8280"/>
    <cellWatch r="G8281"/>
    <cellWatch r="G8282"/>
    <cellWatch r="G8283"/>
    <cellWatch r="G8284"/>
    <cellWatch r="G8285"/>
    <cellWatch r="G8286"/>
    <cellWatch r="G8287"/>
    <cellWatch r="G8288"/>
    <cellWatch r="G8289"/>
    <cellWatch r="G8290"/>
    <cellWatch r="G8291"/>
    <cellWatch r="G8292"/>
    <cellWatch r="G8293"/>
    <cellWatch r="G8294"/>
    <cellWatch r="G8295"/>
    <cellWatch r="G8296"/>
    <cellWatch r="G8297"/>
    <cellWatch r="G8298"/>
    <cellWatch r="G8299"/>
    <cellWatch r="G8300"/>
    <cellWatch r="G8301"/>
    <cellWatch r="G8302"/>
    <cellWatch r="G8303"/>
    <cellWatch r="G8304"/>
    <cellWatch r="G8305"/>
    <cellWatch r="G8306"/>
    <cellWatch r="G8307"/>
    <cellWatch r="G8308"/>
    <cellWatch r="G8309"/>
    <cellWatch r="G8310"/>
    <cellWatch r="G8311"/>
    <cellWatch r="G8312"/>
    <cellWatch r="G8313"/>
    <cellWatch r="G8314"/>
    <cellWatch r="G8315"/>
    <cellWatch r="G8316"/>
    <cellWatch r="G8317"/>
    <cellWatch r="G8318"/>
    <cellWatch r="G8319"/>
    <cellWatch r="G8320"/>
    <cellWatch r="G8321"/>
    <cellWatch r="G8322"/>
    <cellWatch r="G8323"/>
    <cellWatch r="G8324"/>
    <cellWatch r="G8325"/>
    <cellWatch r="G8326"/>
    <cellWatch r="G8327"/>
    <cellWatch r="G8328"/>
    <cellWatch r="G8329"/>
    <cellWatch r="G8330"/>
    <cellWatch r="G8331"/>
    <cellWatch r="G8332"/>
    <cellWatch r="G8333"/>
    <cellWatch r="G8334"/>
    <cellWatch r="G8335"/>
    <cellWatch r="G8336"/>
    <cellWatch r="G8337"/>
    <cellWatch r="G8338"/>
    <cellWatch r="G8339"/>
    <cellWatch r="G8340"/>
    <cellWatch r="G8341"/>
    <cellWatch r="G8342"/>
    <cellWatch r="G8343"/>
    <cellWatch r="G8344"/>
    <cellWatch r="G8345"/>
    <cellWatch r="G8346"/>
    <cellWatch r="G8347"/>
    <cellWatch r="G8348"/>
    <cellWatch r="G8349"/>
    <cellWatch r="G8350"/>
    <cellWatch r="G8351"/>
    <cellWatch r="G8352"/>
    <cellWatch r="G8353"/>
    <cellWatch r="G8354"/>
    <cellWatch r="G8355"/>
    <cellWatch r="G8356"/>
    <cellWatch r="G8357"/>
    <cellWatch r="G8358"/>
    <cellWatch r="G8359"/>
    <cellWatch r="G8360"/>
    <cellWatch r="G8361"/>
    <cellWatch r="G8362"/>
    <cellWatch r="G8363"/>
    <cellWatch r="G8364"/>
    <cellWatch r="G8365"/>
    <cellWatch r="G8366"/>
    <cellWatch r="G8367"/>
    <cellWatch r="G8368"/>
    <cellWatch r="G8369"/>
    <cellWatch r="G8370"/>
    <cellWatch r="G8371"/>
    <cellWatch r="G8372"/>
    <cellWatch r="G8373"/>
    <cellWatch r="G8374"/>
    <cellWatch r="G8375"/>
    <cellWatch r="G8376"/>
    <cellWatch r="G8377"/>
    <cellWatch r="G8378"/>
    <cellWatch r="G8379"/>
    <cellWatch r="G8380"/>
    <cellWatch r="G8381"/>
    <cellWatch r="G8382"/>
    <cellWatch r="G8383"/>
    <cellWatch r="G8384"/>
    <cellWatch r="G8385"/>
    <cellWatch r="G8386"/>
    <cellWatch r="G8387"/>
    <cellWatch r="G8388"/>
    <cellWatch r="G8389"/>
    <cellWatch r="G8390"/>
    <cellWatch r="G8391"/>
    <cellWatch r="G8392"/>
    <cellWatch r="G8393"/>
    <cellWatch r="G8394"/>
    <cellWatch r="G8395"/>
    <cellWatch r="G8396"/>
    <cellWatch r="G8397"/>
    <cellWatch r="G8398"/>
    <cellWatch r="G8399"/>
    <cellWatch r="G8400"/>
    <cellWatch r="G8401"/>
    <cellWatch r="G8402"/>
    <cellWatch r="G8403"/>
    <cellWatch r="G8404"/>
    <cellWatch r="G8405"/>
    <cellWatch r="G8406"/>
    <cellWatch r="G8407"/>
    <cellWatch r="G8408"/>
    <cellWatch r="G8409"/>
    <cellWatch r="G8410"/>
    <cellWatch r="G8411"/>
    <cellWatch r="G8412"/>
    <cellWatch r="G8413"/>
    <cellWatch r="G8414"/>
    <cellWatch r="G8415"/>
    <cellWatch r="G8416"/>
    <cellWatch r="G8417"/>
    <cellWatch r="G8418"/>
    <cellWatch r="G8419"/>
    <cellWatch r="G8420"/>
    <cellWatch r="G8421"/>
    <cellWatch r="G8422"/>
    <cellWatch r="G8423"/>
    <cellWatch r="G8424"/>
    <cellWatch r="G8425"/>
    <cellWatch r="G8426"/>
    <cellWatch r="G8427"/>
    <cellWatch r="G8428"/>
    <cellWatch r="G8429"/>
    <cellWatch r="G8430"/>
    <cellWatch r="G8431"/>
    <cellWatch r="G8432"/>
    <cellWatch r="G8433"/>
    <cellWatch r="G8434"/>
    <cellWatch r="G8435"/>
    <cellWatch r="G8436"/>
    <cellWatch r="G8437"/>
    <cellWatch r="G8438"/>
    <cellWatch r="G8439"/>
    <cellWatch r="G8440"/>
    <cellWatch r="G8441"/>
    <cellWatch r="G8442"/>
    <cellWatch r="G8443"/>
    <cellWatch r="G8444"/>
    <cellWatch r="G8445"/>
    <cellWatch r="G8446"/>
    <cellWatch r="G8447"/>
    <cellWatch r="G8448"/>
    <cellWatch r="G8449"/>
    <cellWatch r="G8450"/>
    <cellWatch r="G8451"/>
    <cellWatch r="G8452"/>
    <cellWatch r="G8453"/>
    <cellWatch r="G8454"/>
    <cellWatch r="G8455"/>
    <cellWatch r="G8456"/>
    <cellWatch r="G8457"/>
    <cellWatch r="G8458"/>
    <cellWatch r="G8459"/>
    <cellWatch r="G8460"/>
    <cellWatch r="G8461"/>
    <cellWatch r="G8462"/>
    <cellWatch r="G8463"/>
    <cellWatch r="G8464"/>
    <cellWatch r="G8465"/>
    <cellWatch r="G8466"/>
    <cellWatch r="G8467"/>
    <cellWatch r="G8468"/>
    <cellWatch r="G8469"/>
    <cellWatch r="G8470"/>
    <cellWatch r="G8471"/>
    <cellWatch r="G8472"/>
    <cellWatch r="G8473"/>
    <cellWatch r="G8474"/>
    <cellWatch r="G8475"/>
    <cellWatch r="G8476"/>
    <cellWatch r="G8477"/>
    <cellWatch r="G8478"/>
    <cellWatch r="G8479"/>
    <cellWatch r="G8480"/>
    <cellWatch r="G8481"/>
    <cellWatch r="G8482"/>
    <cellWatch r="G8483"/>
    <cellWatch r="G8484"/>
    <cellWatch r="G8485"/>
    <cellWatch r="G8486"/>
    <cellWatch r="G8487"/>
    <cellWatch r="G8488"/>
    <cellWatch r="G8489"/>
    <cellWatch r="G8490"/>
    <cellWatch r="G8491"/>
    <cellWatch r="G8492"/>
    <cellWatch r="G8493"/>
    <cellWatch r="G8494"/>
    <cellWatch r="G8495"/>
    <cellWatch r="G8496"/>
    <cellWatch r="G8497"/>
    <cellWatch r="G8498"/>
    <cellWatch r="G8499"/>
    <cellWatch r="G8500"/>
    <cellWatch r="G8501"/>
    <cellWatch r="G8502"/>
    <cellWatch r="G8503"/>
    <cellWatch r="G8504"/>
    <cellWatch r="G8505"/>
    <cellWatch r="G8506"/>
    <cellWatch r="G8507"/>
    <cellWatch r="G8508"/>
    <cellWatch r="G8509"/>
    <cellWatch r="G8510"/>
    <cellWatch r="G8511"/>
    <cellWatch r="G8512"/>
    <cellWatch r="G8513"/>
    <cellWatch r="G8514"/>
    <cellWatch r="G8515"/>
    <cellWatch r="G8516"/>
    <cellWatch r="G8517"/>
    <cellWatch r="G8518"/>
    <cellWatch r="G8519"/>
    <cellWatch r="G8520"/>
    <cellWatch r="G8521"/>
    <cellWatch r="G8522"/>
    <cellWatch r="G8523"/>
    <cellWatch r="G8524"/>
    <cellWatch r="G8525"/>
    <cellWatch r="G8526"/>
    <cellWatch r="G8527"/>
    <cellWatch r="G8528"/>
    <cellWatch r="G8529"/>
    <cellWatch r="G8530"/>
    <cellWatch r="G8531"/>
    <cellWatch r="G8532"/>
    <cellWatch r="G8533"/>
    <cellWatch r="G8534"/>
    <cellWatch r="G8535"/>
    <cellWatch r="G8536"/>
    <cellWatch r="G8537"/>
    <cellWatch r="G8538"/>
    <cellWatch r="G8539"/>
    <cellWatch r="G8540"/>
    <cellWatch r="G8541"/>
    <cellWatch r="G8542"/>
    <cellWatch r="G8543"/>
    <cellWatch r="G8544"/>
    <cellWatch r="G8545"/>
    <cellWatch r="G8546"/>
    <cellWatch r="G8547"/>
    <cellWatch r="G8548"/>
    <cellWatch r="G8549"/>
    <cellWatch r="G8550"/>
    <cellWatch r="G8551"/>
    <cellWatch r="G8552"/>
    <cellWatch r="G8553"/>
    <cellWatch r="G8554"/>
    <cellWatch r="G8555"/>
    <cellWatch r="G8556"/>
    <cellWatch r="G8557"/>
    <cellWatch r="G8558"/>
    <cellWatch r="G8559"/>
    <cellWatch r="G8560"/>
    <cellWatch r="G8561"/>
    <cellWatch r="G8562"/>
    <cellWatch r="G8563"/>
    <cellWatch r="G8564"/>
    <cellWatch r="G8565"/>
    <cellWatch r="G8566"/>
    <cellWatch r="G8567"/>
    <cellWatch r="G8568"/>
    <cellWatch r="G8569"/>
    <cellWatch r="G8570"/>
    <cellWatch r="G8571"/>
    <cellWatch r="G8572"/>
    <cellWatch r="G8573"/>
    <cellWatch r="G8574"/>
    <cellWatch r="G8575"/>
    <cellWatch r="G8576"/>
    <cellWatch r="G8577"/>
    <cellWatch r="G8578"/>
    <cellWatch r="G8579"/>
    <cellWatch r="G8580"/>
    <cellWatch r="G8581"/>
    <cellWatch r="G8582"/>
    <cellWatch r="G8583"/>
    <cellWatch r="G8584"/>
    <cellWatch r="G8585"/>
    <cellWatch r="G8586"/>
    <cellWatch r="G8587"/>
    <cellWatch r="G8588"/>
    <cellWatch r="G8589"/>
    <cellWatch r="G8590"/>
    <cellWatch r="G8591"/>
    <cellWatch r="G8592"/>
    <cellWatch r="G8593"/>
    <cellWatch r="G8594"/>
    <cellWatch r="G8595"/>
    <cellWatch r="G8596"/>
    <cellWatch r="G8597"/>
    <cellWatch r="G8598"/>
    <cellWatch r="G8599"/>
    <cellWatch r="G8600"/>
    <cellWatch r="G8601"/>
    <cellWatch r="G8602"/>
    <cellWatch r="G8603"/>
    <cellWatch r="G8604"/>
    <cellWatch r="G8605"/>
    <cellWatch r="G8606"/>
    <cellWatch r="G8607"/>
    <cellWatch r="G8608"/>
    <cellWatch r="G8609"/>
    <cellWatch r="G8610"/>
    <cellWatch r="G8611"/>
    <cellWatch r="G8612"/>
    <cellWatch r="G8613"/>
    <cellWatch r="G8614"/>
    <cellWatch r="G8615"/>
    <cellWatch r="G8616"/>
    <cellWatch r="G8617"/>
    <cellWatch r="G8618"/>
    <cellWatch r="G8619"/>
    <cellWatch r="G8620"/>
    <cellWatch r="G8621"/>
    <cellWatch r="G8622"/>
    <cellWatch r="G8623"/>
    <cellWatch r="G8624"/>
    <cellWatch r="G8625"/>
    <cellWatch r="G8626"/>
    <cellWatch r="G8627"/>
    <cellWatch r="G8628"/>
    <cellWatch r="G8629"/>
    <cellWatch r="G8630"/>
    <cellWatch r="G8631"/>
    <cellWatch r="G8632"/>
    <cellWatch r="G8633"/>
    <cellWatch r="G8634"/>
    <cellWatch r="G8635"/>
    <cellWatch r="G8636"/>
    <cellWatch r="G8637"/>
    <cellWatch r="G8638"/>
    <cellWatch r="G8639"/>
    <cellWatch r="G8640"/>
    <cellWatch r="G8641"/>
    <cellWatch r="G8642"/>
    <cellWatch r="G8643"/>
    <cellWatch r="G8644"/>
    <cellWatch r="G8645"/>
    <cellWatch r="G8646"/>
    <cellWatch r="G8647"/>
    <cellWatch r="G8648"/>
    <cellWatch r="G8649"/>
    <cellWatch r="G8650"/>
    <cellWatch r="G8651"/>
    <cellWatch r="G8652"/>
    <cellWatch r="G8653"/>
    <cellWatch r="G8654"/>
    <cellWatch r="G8655"/>
    <cellWatch r="G8656"/>
    <cellWatch r="G8657"/>
    <cellWatch r="G8658"/>
    <cellWatch r="G8659"/>
    <cellWatch r="G8660"/>
    <cellWatch r="G8661"/>
    <cellWatch r="G8662"/>
    <cellWatch r="G8663"/>
    <cellWatch r="G8664"/>
    <cellWatch r="G8665"/>
    <cellWatch r="G8666"/>
    <cellWatch r="G8667"/>
    <cellWatch r="G8668"/>
    <cellWatch r="G8669"/>
    <cellWatch r="G8670"/>
    <cellWatch r="G8671"/>
    <cellWatch r="G8672"/>
    <cellWatch r="G8673"/>
    <cellWatch r="G8674"/>
    <cellWatch r="G8675"/>
    <cellWatch r="G8676"/>
    <cellWatch r="G8677"/>
    <cellWatch r="G8678"/>
    <cellWatch r="G8679"/>
    <cellWatch r="G8680"/>
    <cellWatch r="G8681"/>
    <cellWatch r="G8682"/>
    <cellWatch r="G8683"/>
    <cellWatch r="G8684"/>
    <cellWatch r="G8685"/>
    <cellWatch r="G8686"/>
    <cellWatch r="G8687"/>
    <cellWatch r="G8688"/>
    <cellWatch r="G8689"/>
    <cellWatch r="G8690"/>
    <cellWatch r="G8691"/>
    <cellWatch r="G8692"/>
    <cellWatch r="G8693"/>
    <cellWatch r="G8694"/>
    <cellWatch r="G8695"/>
    <cellWatch r="G8696"/>
    <cellWatch r="G8697"/>
    <cellWatch r="G8698"/>
    <cellWatch r="G8699"/>
    <cellWatch r="G8700"/>
    <cellWatch r="G8701"/>
    <cellWatch r="G8702"/>
    <cellWatch r="G8703"/>
    <cellWatch r="G8704"/>
    <cellWatch r="G8705"/>
    <cellWatch r="G8706"/>
    <cellWatch r="G8707"/>
    <cellWatch r="G8708"/>
    <cellWatch r="G8709"/>
    <cellWatch r="G8710"/>
    <cellWatch r="G8711"/>
    <cellWatch r="G8712"/>
    <cellWatch r="G8713"/>
    <cellWatch r="G8714"/>
    <cellWatch r="G8715"/>
    <cellWatch r="G8716"/>
    <cellWatch r="G8717"/>
    <cellWatch r="G8718"/>
    <cellWatch r="G8719"/>
    <cellWatch r="G8720"/>
    <cellWatch r="G8721"/>
    <cellWatch r="G8722"/>
    <cellWatch r="G8723"/>
    <cellWatch r="G8724"/>
    <cellWatch r="G8725"/>
    <cellWatch r="G8726"/>
    <cellWatch r="G8727"/>
    <cellWatch r="G8728"/>
    <cellWatch r="G8729"/>
    <cellWatch r="G8730"/>
    <cellWatch r="G8731"/>
    <cellWatch r="G8732"/>
    <cellWatch r="G8733"/>
    <cellWatch r="G8734"/>
    <cellWatch r="G8735"/>
    <cellWatch r="G8736"/>
    <cellWatch r="G8737"/>
    <cellWatch r="G8738"/>
    <cellWatch r="G8739"/>
    <cellWatch r="G8740"/>
    <cellWatch r="G8741"/>
    <cellWatch r="G8742"/>
    <cellWatch r="G8743"/>
    <cellWatch r="G8744"/>
    <cellWatch r="G8745"/>
    <cellWatch r="G8746"/>
    <cellWatch r="G8747"/>
    <cellWatch r="G8748"/>
    <cellWatch r="G8749"/>
    <cellWatch r="G8750"/>
    <cellWatch r="G8751"/>
    <cellWatch r="G8752"/>
    <cellWatch r="G8753"/>
    <cellWatch r="G8754"/>
    <cellWatch r="G8755"/>
    <cellWatch r="G8756"/>
    <cellWatch r="G8757"/>
    <cellWatch r="G8758"/>
    <cellWatch r="G8759"/>
    <cellWatch r="G8760"/>
    <cellWatch r="G8761"/>
    <cellWatch r="G8762"/>
    <cellWatch r="G8763"/>
    <cellWatch r="G8764"/>
    <cellWatch r="G8765"/>
    <cellWatch r="G8766"/>
    <cellWatch r="G8767"/>
    <cellWatch r="G8768"/>
    <cellWatch r="G8769"/>
    <cellWatch r="G8770"/>
    <cellWatch r="G8771"/>
    <cellWatch r="G8772"/>
    <cellWatch r="G8773"/>
    <cellWatch r="G8774"/>
    <cellWatch r="G8775"/>
    <cellWatch r="G8776"/>
    <cellWatch r="G8777"/>
    <cellWatch r="G8778"/>
    <cellWatch r="G8779"/>
    <cellWatch r="G8780"/>
    <cellWatch r="G8781"/>
    <cellWatch r="G8782"/>
    <cellWatch r="G8783"/>
    <cellWatch r="G8784"/>
    <cellWatch r="G8785"/>
    <cellWatch r="G8786"/>
    <cellWatch r="G8787"/>
    <cellWatch r="G8788"/>
    <cellWatch r="G8789"/>
    <cellWatch r="G8790"/>
    <cellWatch r="G8791"/>
    <cellWatch r="G8792"/>
    <cellWatch r="G8793"/>
    <cellWatch r="G8794"/>
    <cellWatch r="G8795"/>
    <cellWatch r="G8796"/>
    <cellWatch r="G8797"/>
    <cellWatch r="G8798"/>
    <cellWatch r="G8799"/>
    <cellWatch r="G8800"/>
    <cellWatch r="G8801"/>
    <cellWatch r="G8802"/>
    <cellWatch r="G8803"/>
    <cellWatch r="G8804"/>
    <cellWatch r="G8805"/>
    <cellWatch r="G8806"/>
    <cellWatch r="G8807"/>
    <cellWatch r="G8808"/>
    <cellWatch r="G8809"/>
    <cellWatch r="G8810"/>
    <cellWatch r="G8811"/>
    <cellWatch r="G8812"/>
    <cellWatch r="G8813"/>
    <cellWatch r="G8814"/>
    <cellWatch r="G8815"/>
    <cellWatch r="G8816"/>
    <cellWatch r="G8817"/>
    <cellWatch r="G8818"/>
    <cellWatch r="G8819"/>
    <cellWatch r="G8820"/>
    <cellWatch r="G8821"/>
    <cellWatch r="G8822"/>
    <cellWatch r="G8823"/>
    <cellWatch r="G8824"/>
    <cellWatch r="G8825"/>
    <cellWatch r="G8826"/>
    <cellWatch r="G8827"/>
    <cellWatch r="G8828"/>
    <cellWatch r="G8829"/>
    <cellWatch r="G8830"/>
    <cellWatch r="G8831"/>
    <cellWatch r="G8832"/>
    <cellWatch r="G8833"/>
    <cellWatch r="G8834"/>
    <cellWatch r="G8835"/>
    <cellWatch r="G8836"/>
    <cellWatch r="G8837"/>
    <cellWatch r="G8838"/>
    <cellWatch r="G8839"/>
    <cellWatch r="G8840"/>
    <cellWatch r="G8841"/>
    <cellWatch r="G8842"/>
    <cellWatch r="G8843"/>
    <cellWatch r="G8844"/>
    <cellWatch r="G8845"/>
    <cellWatch r="G8846"/>
    <cellWatch r="G8847"/>
    <cellWatch r="G8848"/>
    <cellWatch r="G8849"/>
    <cellWatch r="G8850"/>
    <cellWatch r="G8851"/>
    <cellWatch r="G8852"/>
    <cellWatch r="G8853"/>
    <cellWatch r="G8854"/>
    <cellWatch r="G8855"/>
    <cellWatch r="G8856"/>
    <cellWatch r="G8857"/>
    <cellWatch r="G8858"/>
    <cellWatch r="G8859"/>
    <cellWatch r="G8860"/>
    <cellWatch r="G8861"/>
    <cellWatch r="G8862"/>
    <cellWatch r="G8863"/>
    <cellWatch r="G8864"/>
    <cellWatch r="G8865"/>
    <cellWatch r="G8866"/>
    <cellWatch r="G8867"/>
    <cellWatch r="G8868"/>
    <cellWatch r="G8869"/>
    <cellWatch r="G8870"/>
    <cellWatch r="G8871"/>
    <cellWatch r="G8872"/>
    <cellWatch r="G8873"/>
    <cellWatch r="G8874"/>
    <cellWatch r="G8875"/>
    <cellWatch r="G8876"/>
    <cellWatch r="G8877"/>
    <cellWatch r="G8878"/>
    <cellWatch r="G8879"/>
    <cellWatch r="G8880"/>
    <cellWatch r="G8881"/>
    <cellWatch r="G8882"/>
    <cellWatch r="G8883"/>
    <cellWatch r="G8884"/>
    <cellWatch r="G8885"/>
    <cellWatch r="G8886"/>
    <cellWatch r="G8887"/>
    <cellWatch r="G8888"/>
    <cellWatch r="G8889"/>
    <cellWatch r="G8890"/>
    <cellWatch r="G8891"/>
    <cellWatch r="G8892"/>
    <cellWatch r="G8893"/>
    <cellWatch r="G8894"/>
    <cellWatch r="G8895"/>
    <cellWatch r="G8896"/>
    <cellWatch r="G8897"/>
    <cellWatch r="G8898"/>
    <cellWatch r="G8899"/>
    <cellWatch r="G8900"/>
    <cellWatch r="G8901"/>
    <cellWatch r="G8902"/>
    <cellWatch r="G8903"/>
    <cellWatch r="G8904"/>
    <cellWatch r="G8905"/>
    <cellWatch r="G8906"/>
    <cellWatch r="G8907"/>
    <cellWatch r="G8908"/>
    <cellWatch r="G8909"/>
    <cellWatch r="G8910"/>
    <cellWatch r="G8911"/>
    <cellWatch r="G8912"/>
    <cellWatch r="G8913"/>
    <cellWatch r="G8914"/>
    <cellWatch r="G8915"/>
    <cellWatch r="G8916"/>
    <cellWatch r="G8917"/>
    <cellWatch r="G8918"/>
    <cellWatch r="G8919"/>
    <cellWatch r="G8920"/>
    <cellWatch r="G8921"/>
    <cellWatch r="G8922"/>
    <cellWatch r="G8923"/>
    <cellWatch r="G8924"/>
    <cellWatch r="G8925"/>
    <cellWatch r="G8926"/>
    <cellWatch r="G8927"/>
    <cellWatch r="G8928"/>
    <cellWatch r="G8929"/>
    <cellWatch r="G8930"/>
    <cellWatch r="G8931"/>
    <cellWatch r="G8932"/>
    <cellWatch r="G8933"/>
    <cellWatch r="G8934"/>
    <cellWatch r="G8935"/>
    <cellWatch r="G8936"/>
    <cellWatch r="G8937"/>
    <cellWatch r="G8938"/>
    <cellWatch r="G8939"/>
    <cellWatch r="G8940"/>
    <cellWatch r="G8941"/>
    <cellWatch r="G8942"/>
    <cellWatch r="G8943"/>
    <cellWatch r="G8944"/>
    <cellWatch r="G8945"/>
    <cellWatch r="G8946"/>
    <cellWatch r="G8947"/>
    <cellWatch r="G8948"/>
    <cellWatch r="G8949"/>
    <cellWatch r="G8950"/>
    <cellWatch r="G8951"/>
    <cellWatch r="G8952"/>
    <cellWatch r="G8953"/>
    <cellWatch r="G8954"/>
    <cellWatch r="G8955"/>
    <cellWatch r="G8956"/>
    <cellWatch r="G8957"/>
    <cellWatch r="G8958"/>
    <cellWatch r="G8959"/>
    <cellWatch r="G8960"/>
    <cellWatch r="G8961"/>
    <cellWatch r="G8962"/>
    <cellWatch r="G8963"/>
    <cellWatch r="G8964"/>
    <cellWatch r="G8965"/>
    <cellWatch r="G8966"/>
    <cellWatch r="G8967"/>
    <cellWatch r="G8968"/>
    <cellWatch r="G8969"/>
    <cellWatch r="G8970"/>
    <cellWatch r="G8971"/>
    <cellWatch r="G8972"/>
    <cellWatch r="G8973"/>
    <cellWatch r="G8974"/>
    <cellWatch r="G8975"/>
    <cellWatch r="G8976"/>
    <cellWatch r="G8977"/>
    <cellWatch r="G8978"/>
    <cellWatch r="G8979"/>
    <cellWatch r="G8980"/>
    <cellWatch r="G8981"/>
    <cellWatch r="G8982"/>
    <cellWatch r="G8983"/>
    <cellWatch r="G8984"/>
    <cellWatch r="G8985"/>
    <cellWatch r="G8986"/>
    <cellWatch r="G8987"/>
    <cellWatch r="G8988"/>
    <cellWatch r="G8989"/>
    <cellWatch r="G8990"/>
    <cellWatch r="G8991"/>
    <cellWatch r="G8992"/>
    <cellWatch r="G8993"/>
    <cellWatch r="G8994"/>
    <cellWatch r="G8995"/>
    <cellWatch r="G8996"/>
    <cellWatch r="G8997"/>
    <cellWatch r="G8998"/>
    <cellWatch r="G8999"/>
    <cellWatch r="G9000"/>
    <cellWatch r="G9001"/>
    <cellWatch r="G9002"/>
    <cellWatch r="G9003"/>
    <cellWatch r="G9004"/>
    <cellWatch r="G9005"/>
    <cellWatch r="G9006"/>
    <cellWatch r="G9007"/>
    <cellWatch r="G9008"/>
    <cellWatch r="G9009"/>
    <cellWatch r="G9010"/>
    <cellWatch r="G9011"/>
    <cellWatch r="G9012"/>
    <cellWatch r="G9013"/>
    <cellWatch r="G9014"/>
    <cellWatch r="G9015"/>
    <cellWatch r="G9016"/>
    <cellWatch r="G9017"/>
    <cellWatch r="G9018"/>
    <cellWatch r="G9019"/>
    <cellWatch r="G9020"/>
    <cellWatch r="G9021"/>
    <cellWatch r="G9022"/>
    <cellWatch r="G9023"/>
    <cellWatch r="G9024"/>
    <cellWatch r="G9025"/>
    <cellWatch r="G9026"/>
    <cellWatch r="G9027"/>
    <cellWatch r="G9028"/>
    <cellWatch r="G9029"/>
    <cellWatch r="G9030"/>
    <cellWatch r="G9031"/>
    <cellWatch r="G9032"/>
    <cellWatch r="G9033"/>
    <cellWatch r="G9034"/>
    <cellWatch r="G9035"/>
    <cellWatch r="G9036"/>
    <cellWatch r="G9037"/>
    <cellWatch r="G9038"/>
    <cellWatch r="G9039"/>
    <cellWatch r="G9040"/>
    <cellWatch r="G9041"/>
    <cellWatch r="G9042"/>
    <cellWatch r="G9043"/>
    <cellWatch r="G9044"/>
    <cellWatch r="G9045"/>
    <cellWatch r="G9046"/>
    <cellWatch r="G9047"/>
    <cellWatch r="G9048"/>
    <cellWatch r="G9049"/>
    <cellWatch r="G9050"/>
    <cellWatch r="G9051"/>
    <cellWatch r="G9052"/>
    <cellWatch r="G9053"/>
    <cellWatch r="G9054"/>
    <cellWatch r="G9055"/>
    <cellWatch r="G9056"/>
    <cellWatch r="G9057"/>
    <cellWatch r="G9058"/>
    <cellWatch r="G9059"/>
    <cellWatch r="G9060"/>
    <cellWatch r="G9061"/>
    <cellWatch r="G9062"/>
    <cellWatch r="G9063"/>
    <cellWatch r="G9064"/>
    <cellWatch r="G9065"/>
    <cellWatch r="G9066"/>
    <cellWatch r="G9067"/>
    <cellWatch r="G9068"/>
    <cellWatch r="G9069"/>
    <cellWatch r="G9070"/>
    <cellWatch r="G9071"/>
    <cellWatch r="G9072"/>
    <cellWatch r="G9073"/>
    <cellWatch r="G9074"/>
    <cellWatch r="G9075"/>
    <cellWatch r="G9076"/>
    <cellWatch r="G9077"/>
    <cellWatch r="G9078"/>
    <cellWatch r="G9079"/>
    <cellWatch r="G9080"/>
    <cellWatch r="G9081"/>
    <cellWatch r="G9082"/>
    <cellWatch r="G9083"/>
    <cellWatch r="G9084"/>
    <cellWatch r="G9085"/>
    <cellWatch r="G9086"/>
    <cellWatch r="G9087"/>
    <cellWatch r="G9088"/>
    <cellWatch r="G9089"/>
    <cellWatch r="G9090"/>
    <cellWatch r="G9091"/>
    <cellWatch r="G9092"/>
    <cellWatch r="G9093"/>
    <cellWatch r="G9094"/>
    <cellWatch r="G9095"/>
    <cellWatch r="G9096"/>
    <cellWatch r="G9097"/>
    <cellWatch r="G9098"/>
    <cellWatch r="G9099"/>
    <cellWatch r="G9100"/>
    <cellWatch r="G9101"/>
    <cellWatch r="G9102"/>
    <cellWatch r="G9103"/>
    <cellWatch r="G9104"/>
    <cellWatch r="G9105"/>
    <cellWatch r="G9106"/>
    <cellWatch r="G9107"/>
    <cellWatch r="G9108"/>
    <cellWatch r="G9109"/>
    <cellWatch r="G9110"/>
    <cellWatch r="G9111"/>
    <cellWatch r="G9112"/>
    <cellWatch r="G9113"/>
    <cellWatch r="G9114"/>
    <cellWatch r="G9115"/>
    <cellWatch r="G9116"/>
    <cellWatch r="G9117"/>
    <cellWatch r="G9118"/>
    <cellWatch r="G9119"/>
    <cellWatch r="G9120"/>
    <cellWatch r="G9121"/>
    <cellWatch r="G9122"/>
    <cellWatch r="G9123"/>
    <cellWatch r="G9124"/>
    <cellWatch r="G9125"/>
    <cellWatch r="G9126"/>
    <cellWatch r="G9127"/>
    <cellWatch r="G9128"/>
    <cellWatch r="G9129"/>
    <cellWatch r="G9130"/>
    <cellWatch r="G9131"/>
    <cellWatch r="G9132"/>
    <cellWatch r="G9133"/>
    <cellWatch r="G9134"/>
    <cellWatch r="G9135"/>
    <cellWatch r="G9136"/>
    <cellWatch r="G9137"/>
    <cellWatch r="G9138"/>
    <cellWatch r="G9139"/>
    <cellWatch r="G9140"/>
    <cellWatch r="G9141"/>
    <cellWatch r="G9142"/>
    <cellWatch r="G9143"/>
    <cellWatch r="G9144"/>
    <cellWatch r="G9145"/>
    <cellWatch r="G9146"/>
    <cellWatch r="G9147"/>
    <cellWatch r="G9148"/>
    <cellWatch r="G9149"/>
    <cellWatch r="G9150"/>
    <cellWatch r="G9151"/>
    <cellWatch r="G9152"/>
    <cellWatch r="G9153"/>
    <cellWatch r="G9154"/>
    <cellWatch r="G9155"/>
    <cellWatch r="G9156"/>
    <cellWatch r="G9157"/>
    <cellWatch r="G9158"/>
    <cellWatch r="G9159"/>
    <cellWatch r="G9160"/>
    <cellWatch r="G9161"/>
    <cellWatch r="G9162"/>
    <cellWatch r="G9163"/>
    <cellWatch r="G9164"/>
    <cellWatch r="G9165"/>
    <cellWatch r="G9166"/>
    <cellWatch r="G9167"/>
    <cellWatch r="G9168"/>
    <cellWatch r="G9169"/>
    <cellWatch r="G9170"/>
    <cellWatch r="G9171"/>
    <cellWatch r="G9172"/>
    <cellWatch r="G9173"/>
    <cellWatch r="G9174"/>
    <cellWatch r="G9175"/>
    <cellWatch r="G9176"/>
    <cellWatch r="G9177"/>
    <cellWatch r="G9178"/>
    <cellWatch r="G9179"/>
    <cellWatch r="G9180"/>
    <cellWatch r="G9181"/>
    <cellWatch r="G9182"/>
    <cellWatch r="G9183"/>
    <cellWatch r="G9184"/>
    <cellWatch r="G9185"/>
    <cellWatch r="G9186"/>
    <cellWatch r="G9187"/>
    <cellWatch r="G9188"/>
    <cellWatch r="G9189"/>
    <cellWatch r="G9190"/>
    <cellWatch r="G9191"/>
    <cellWatch r="G9192"/>
    <cellWatch r="G9193"/>
    <cellWatch r="G9194"/>
    <cellWatch r="G9195"/>
    <cellWatch r="G9196"/>
    <cellWatch r="G9197"/>
    <cellWatch r="G9198"/>
    <cellWatch r="G9199"/>
    <cellWatch r="G9200"/>
    <cellWatch r="G9201"/>
    <cellWatch r="G9202"/>
    <cellWatch r="G9203"/>
    <cellWatch r="G9204"/>
    <cellWatch r="G9205"/>
    <cellWatch r="G9206"/>
    <cellWatch r="G9207"/>
    <cellWatch r="G9208"/>
    <cellWatch r="G9209"/>
    <cellWatch r="G9210"/>
    <cellWatch r="G9211"/>
    <cellWatch r="G9212"/>
    <cellWatch r="G9213"/>
    <cellWatch r="G9214"/>
    <cellWatch r="G9215"/>
    <cellWatch r="G9216"/>
    <cellWatch r="G9217"/>
    <cellWatch r="G9218"/>
    <cellWatch r="G9219"/>
    <cellWatch r="G9220"/>
    <cellWatch r="G9221"/>
    <cellWatch r="G9222"/>
    <cellWatch r="G9223"/>
    <cellWatch r="G9224"/>
    <cellWatch r="G9225"/>
    <cellWatch r="G9226"/>
    <cellWatch r="G9227"/>
    <cellWatch r="G9228"/>
    <cellWatch r="G9229"/>
    <cellWatch r="G9230"/>
    <cellWatch r="G9231"/>
    <cellWatch r="G9232"/>
    <cellWatch r="G9233"/>
    <cellWatch r="G9234"/>
    <cellWatch r="G9235"/>
    <cellWatch r="G9236"/>
    <cellWatch r="G9237"/>
    <cellWatch r="G9238"/>
    <cellWatch r="G9239"/>
    <cellWatch r="G9240"/>
    <cellWatch r="G9241"/>
    <cellWatch r="G9242"/>
    <cellWatch r="G9243"/>
    <cellWatch r="G9244"/>
    <cellWatch r="G9245"/>
    <cellWatch r="G9246"/>
    <cellWatch r="G9247"/>
    <cellWatch r="G9248"/>
    <cellWatch r="G9249"/>
    <cellWatch r="G9250"/>
    <cellWatch r="G9251"/>
    <cellWatch r="G9252"/>
    <cellWatch r="G9253"/>
    <cellWatch r="G9254"/>
    <cellWatch r="G9255"/>
    <cellWatch r="G9256"/>
    <cellWatch r="G9257"/>
    <cellWatch r="G9258"/>
    <cellWatch r="G9259"/>
    <cellWatch r="G9260"/>
    <cellWatch r="G9261"/>
    <cellWatch r="G9262"/>
    <cellWatch r="G9263"/>
    <cellWatch r="G9264"/>
    <cellWatch r="G9265"/>
    <cellWatch r="G9266"/>
    <cellWatch r="G9267"/>
    <cellWatch r="G9268"/>
    <cellWatch r="G9269"/>
    <cellWatch r="G9270"/>
    <cellWatch r="G9271"/>
    <cellWatch r="G9272"/>
    <cellWatch r="G9273"/>
    <cellWatch r="G9274"/>
    <cellWatch r="G9275"/>
    <cellWatch r="G9276"/>
    <cellWatch r="G9277"/>
    <cellWatch r="G9278"/>
    <cellWatch r="G9279"/>
    <cellWatch r="G9280"/>
    <cellWatch r="G9281"/>
    <cellWatch r="G9282"/>
    <cellWatch r="G9283"/>
    <cellWatch r="G9284"/>
    <cellWatch r="G9285"/>
    <cellWatch r="G9286"/>
    <cellWatch r="G9287"/>
    <cellWatch r="G9288"/>
    <cellWatch r="G9289"/>
    <cellWatch r="G9290"/>
    <cellWatch r="G9291"/>
    <cellWatch r="G9292"/>
    <cellWatch r="G9293"/>
    <cellWatch r="G9294"/>
    <cellWatch r="G9295"/>
    <cellWatch r="G9296"/>
    <cellWatch r="G9297"/>
    <cellWatch r="G9298"/>
    <cellWatch r="G9299"/>
    <cellWatch r="G9300"/>
    <cellWatch r="G9301"/>
    <cellWatch r="G9302"/>
    <cellWatch r="G9303"/>
    <cellWatch r="G9304"/>
    <cellWatch r="G9305"/>
    <cellWatch r="G9306"/>
    <cellWatch r="G9307"/>
    <cellWatch r="G9308"/>
    <cellWatch r="G9309"/>
    <cellWatch r="G9310"/>
    <cellWatch r="G9311"/>
    <cellWatch r="G9312"/>
    <cellWatch r="G9313"/>
    <cellWatch r="G9314"/>
    <cellWatch r="G9315"/>
    <cellWatch r="G9316"/>
    <cellWatch r="G9317"/>
    <cellWatch r="G9318"/>
    <cellWatch r="G9319"/>
    <cellWatch r="G9320"/>
    <cellWatch r="G9321"/>
    <cellWatch r="G9322"/>
    <cellWatch r="G9323"/>
    <cellWatch r="G9324"/>
    <cellWatch r="G9325"/>
    <cellWatch r="G9326"/>
    <cellWatch r="G9327"/>
    <cellWatch r="G9328"/>
    <cellWatch r="G9329"/>
    <cellWatch r="G9330"/>
    <cellWatch r="G9331"/>
    <cellWatch r="G9332"/>
    <cellWatch r="G9333"/>
    <cellWatch r="G9334"/>
    <cellWatch r="G9335"/>
    <cellWatch r="G9336"/>
    <cellWatch r="G9337"/>
    <cellWatch r="G9338"/>
    <cellWatch r="G9339"/>
    <cellWatch r="G9340"/>
    <cellWatch r="G9341"/>
    <cellWatch r="G9342"/>
    <cellWatch r="G9343"/>
    <cellWatch r="G9344"/>
    <cellWatch r="G9345"/>
    <cellWatch r="G9346"/>
    <cellWatch r="G9347"/>
    <cellWatch r="G9348"/>
    <cellWatch r="G9349"/>
    <cellWatch r="G9350"/>
    <cellWatch r="G9351"/>
    <cellWatch r="G9352"/>
    <cellWatch r="G9353"/>
    <cellWatch r="G9354"/>
    <cellWatch r="G9355"/>
    <cellWatch r="G9356"/>
    <cellWatch r="G9357"/>
    <cellWatch r="G9358"/>
    <cellWatch r="G9359"/>
    <cellWatch r="G9360"/>
    <cellWatch r="G9361"/>
    <cellWatch r="G9362"/>
    <cellWatch r="G9363"/>
    <cellWatch r="G9364"/>
    <cellWatch r="G9365"/>
    <cellWatch r="G9366"/>
    <cellWatch r="G9367"/>
    <cellWatch r="G9368"/>
    <cellWatch r="G9369"/>
    <cellWatch r="G9370"/>
    <cellWatch r="G9371"/>
    <cellWatch r="G9372"/>
    <cellWatch r="G9373"/>
    <cellWatch r="G9374"/>
    <cellWatch r="G9375"/>
    <cellWatch r="G9376"/>
    <cellWatch r="G9377"/>
    <cellWatch r="G9378"/>
    <cellWatch r="G9379"/>
    <cellWatch r="G9380"/>
    <cellWatch r="G9381"/>
    <cellWatch r="G9382"/>
    <cellWatch r="G9383"/>
    <cellWatch r="G9384"/>
    <cellWatch r="G9385"/>
    <cellWatch r="G9386"/>
    <cellWatch r="G9387"/>
    <cellWatch r="G9388"/>
    <cellWatch r="G9389"/>
    <cellWatch r="G9390"/>
    <cellWatch r="G9391"/>
    <cellWatch r="G9392"/>
    <cellWatch r="G9393"/>
    <cellWatch r="G9394"/>
    <cellWatch r="G9395"/>
    <cellWatch r="G9396"/>
    <cellWatch r="G9397"/>
    <cellWatch r="G9398"/>
    <cellWatch r="G9399"/>
    <cellWatch r="G9400"/>
    <cellWatch r="G9401"/>
    <cellWatch r="G9402"/>
    <cellWatch r="G9403"/>
    <cellWatch r="G9404"/>
    <cellWatch r="G9405"/>
    <cellWatch r="G9406"/>
    <cellWatch r="G9407"/>
    <cellWatch r="G9408"/>
    <cellWatch r="G9409"/>
    <cellWatch r="G9410"/>
    <cellWatch r="G9411"/>
    <cellWatch r="G9412"/>
    <cellWatch r="G9413"/>
    <cellWatch r="G9414"/>
    <cellWatch r="G9415"/>
    <cellWatch r="G9416"/>
    <cellWatch r="G9417"/>
    <cellWatch r="G9418"/>
    <cellWatch r="G9419"/>
    <cellWatch r="G9420"/>
    <cellWatch r="G9421"/>
    <cellWatch r="G9422"/>
    <cellWatch r="G9423"/>
    <cellWatch r="G9424"/>
    <cellWatch r="G9425"/>
    <cellWatch r="G9426"/>
    <cellWatch r="G9427"/>
    <cellWatch r="G9428"/>
    <cellWatch r="G9429"/>
    <cellWatch r="G9430"/>
    <cellWatch r="G9431"/>
    <cellWatch r="G9432"/>
    <cellWatch r="G9433"/>
    <cellWatch r="G9434"/>
    <cellWatch r="G9435"/>
    <cellWatch r="G9436"/>
    <cellWatch r="G9437"/>
    <cellWatch r="G9438"/>
    <cellWatch r="G9439"/>
    <cellWatch r="G9440"/>
    <cellWatch r="G9441"/>
    <cellWatch r="G9442"/>
    <cellWatch r="G9443"/>
    <cellWatch r="G9444"/>
    <cellWatch r="G9445"/>
    <cellWatch r="G9446"/>
    <cellWatch r="G9447"/>
    <cellWatch r="G9448"/>
    <cellWatch r="G9449"/>
    <cellWatch r="G9450"/>
    <cellWatch r="G9451"/>
    <cellWatch r="G9452"/>
    <cellWatch r="G9453"/>
    <cellWatch r="G9454"/>
    <cellWatch r="G9455"/>
    <cellWatch r="G9456"/>
    <cellWatch r="G9457"/>
    <cellWatch r="G9458"/>
    <cellWatch r="G9459"/>
    <cellWatch r="G9460"/>
    <cellWatch r="G9461"/>
    <cellWatch r="G9462"/>
    <cellWatch r="G9463"/>
    <cellWatch r="G9464"/>
    <cellWatch r="G9465"/>
    <cellWatch r="G9466"/>
    <cellWatch r="G9467"/>
    <cellWatch r="G9468"/>
    <cellWatch r="G9469"/>
    <cellWatch r="G9470"/>
    <cellWatch r="G9471"/>
    <cellWatch r="G9472"/>
    <cellWatch r="G9473"/>
    <cellWatch r="G9474"/>
    <cellWatch r="G9475"/>
    <cellWatch r="G9476"/>
    <cellWatch r="G9477"/>
    <cellWatch r="G9478"/>
    <cellWatch r="G9479"/>
    <cellWatch r="G9480"/>
    <cellWatch r="G9481"/>
    <cellWatch r="G9482"/>
    <cellWatch r="G9483"/>
    <cellWatch r="G9484"/>
    <cellWatch r="G9485"/>
    <cellWatch r="G9486"/>
    <cellWatch r="G9487"/>
    <cellWatch r="G9488"/>
    <cellWatch r="G9489"/>
    <cellWatch r="G9490"/>
    <cellWatch r="G9491"/>
    <cellWatch r="G9492"/>
    <cellWatch r="G9493"/>
    <cellWatch r="G9494"/>
    <cellWatch r="G9495"/>
    <cellWatch r="G9496"/>
    <cellWatch r="G9497"/>
    <cellWatch r="G9498"/>
    <cellWatch r="G9499"/>
    <cellWatch r="G9500"/>
    <cellWatch r="G9501"/>
    <cellWatch r="G9502"/>
    <cellWatch r="G9503"/>
    <cellWatch r="G9504"/>
    <cellWatch r="G9505"/>
    <cellWatch r="G9506"/>
    <cellWatch r="G9507"/>
    <cellWatch r="G9508"/>
    <cellWatch r="G9509"/>
    <cellWatch r="G9510"/>
    <cellWatch r="G9511"/>
    <cellWatch r="G9512"/>
    <cellWatch r="G9513"/>
    <cellWatch r="G9514"/>
    <cellWatch r="G9515"/>
    <cellWatch r="G9516"/>
    <cellWatch r="G9517"/>
    <cellWatch r="G9518"/>
    <cellWatch r="G9519"/>
    <cellWatch r="G9520"/>
    <cellWatch r="G9521"/>
    <cellWatch r="G9522"/>
    <cellWatch r="G9523"/>
    <cellWatch r="G9524"/>
    <cellWatch r="G9525"/>
    <cellWatch r="G9526"/>
    <cellWatch r="G9527"/>
    <cellWatch r="G9528"/>
    <cellWatch r="G9529"/>
    <cellWatch r="G9530"/>
    <cellWatch r="G9531"/>
    <cellWatch r="G9532"/>
    <cellWatch r="G9533"/>
    <cellWatch r="G9534"/>
    <cellWatch r="G9535"/>
    <cellWatch r="G9536"/>
    <cellWatch r="G9537"/>
    <cellWatch r="G9538"/>
    <cellWatch r="G9539"/>
    <cellWatch r="G9540"/>
    <cellWatch r="G9541"/>
    <cellWatch r="G9542"/>
    <cellWatch r="G9543"/>
    <cellWatch r="G9544"/>
    <cellWatch r="G9545"/>
    <cellWatch r="G9546"/>
    <cellWatch r="G9547"/>
    <cellWatch r="G9548"/>
    <cellWatch r="G9549"/>
    <cellWatch r="G9550"/>
    <cellWatch r="G9551"/>
    <cellWatch r="G9552"/>
    <cellWatch r="G9553"/>
    <cellWatch r="G9554"/>
    <cellWatch r="G9555"/>
    <cellWatch r="G9556"/>
    <cellWatch r="G9557"/>
    <cellWatch r="G9558"/>
    <cellWatch r="G9559"/>
    <cellWatch r="G9560"/>
    <cellWatch r="G9561"/>
    <cellWatch r="G9562"/>
    <cellWatch r="G9563"/>
    <cellWatch r="G9564"/>
    <cellWatch r="G9565"/>
    <cellWatch r="G9566"/>
    <cellWatch r="G9567"/>
    <cellWatch r="G9568"/>
    <cellWatch r="G9569"/>
    <cellWatch r="G9570"/>
    <cellWatch r="G9571"/>
    <cellWatch r="G9572"/>
    <cellWatch r="G9573"/>
    <cellWatch r="G9574"/>
    <cellWatch r="G9575"/>
    <cellWatch r="G9576"/>
    <cellWatch r="G9577"/>
    <cellWatch r="G9578"/>
    <cellWatch r="G9579"/>
    <cellWatch r="G9580"/>
    <cellWatch r="G9581"/>
    <cellWatch r="G9582"/>
    <cellWatch r="G9583"/>
    <cellWatch r="G9584"/>
    <cellWatch r="G9585"/>
    <cellWatch r="G9586"/>
    <cellWatch r="G9587"/>
    <cellWatch r="G9588"/>
    <cellWatch r="G9589"/>
    <cellWatch r="G9590"/>
    <cellWatch r="G9591"/>
    <cellWatch r="G9592"/>
    <cellWatch r="G9593"/>
    <cellWatch r="G9594"/>
    <cellWatch r="G9595"/>
    <cellWatch r="G9596"/>
    <cellWatch r="G9597"/>
    <cellWatch r="G9598"/>
    <cellWatch r="G9599"/>
    <cellWatch r="G9600"/>
    <cellWatch r="G9601"/>
    <cellWatch r="G9602"/>
    <cellWatch r="G9603"/>
    <cellWatch r="G9604"/>
    <cellWatch r="G9605"/>
    <cellWatch r="G9606"/>
    <cellWatch r="G9607"/>
    <cellWatch r="G9608"/>
    <cellWatch r="G9609"/>
    <cellWatch r="G9610"/>
    <cellWatch r="G9611"/>
    <cellWatch r="G9612"/>
    <cellWatch r="G9613"/>
    <cellWatch r="G9614"/>
    <cellWatch r="G9615"/>
    <cellWatch r="G9616"/>
    <cellWatch r="G9617"/>
    <cellWatch r="G9618"/>
    <cellWatch r="G9619"/>
    <cellWatch r="G9620"/>
    <cellWatch r="G9621"/>
    <cellWatch r="G9622"/>
    <cellWatch r="G9623"/>
    <cellWatch r="G9624"/>
    <cellWatch r="G9625"/>
    <cellWatch r="G9626"/>
    <cellWatch r="G9627"/>
    <cellWatch r="G9628"/>
    <cellWatch r="G9629"/>
    <cellWatch r="G9630"/>
    <cellWatch r="G9631"/>
    <cellWatch r="G9632"/>
    <cellWatch r="G9633"/>
    <cellWatch r="G9634"/>
    <cellWatch r="G9635"/>
    <cellWatch r="G9636"/>
    <cellWatch r="G9637"/>
    <cellWatch r="G9638"/>
    <cellWatch r="G9639"/>
    <cellWatch r="G9640"/>
    <cellWatch r="G9641"/>
    <cellWatch r="G9642"/>
    <cellWatch r="G9643"/>
    <cellWatch r="G9644"/>
    <cellWatch r="G9645"/>
    <cellWatch r="G9646"/>
    <cellWatch r="G9647"/>
    <cellWatch r="G9648"/>
    <cellWatch r="G9649"/>
    <cellWatch r="G9650"/>
    <cellWatch r="G9651"/>
    <cellWatch r="G9652"/>
    <cellWatch r="G9653"/>
    <cellWatch r="G9654"/>
    <cellWatch r="G9655"/>
    <cellWatch r="G9656"/>
    <cellWatch r="G9657"/>
    <cellWatch r="G9658"/>
    <cellWatch r="G9659"/>
    <cellWatch r="G9660"/>
    <cellWatch r="G9661"/>
    <cellWatch r="G9662"/>
    <cellWatch r="G9663"/>
    <cellWatch r="G9664"/>
    <cellWatch r="G9665"/>
    <cellWatch r="G9666"/>
    <cellWatch r="G9667"/>
    <cellWatch r="G9668"/>
    <cellWatch r="G9669"/>
    <cellWatch r="G9670"/>
    <cellWatch r="G9671"/>
    <cellWatch r="G9672"/>
    <cellWatch r="G9673"/>
    <cellWatch r="G9674"/>
    <cellWatch r="G9675"/>
    <cellWatch r="G9676"/>
    <cellWatch r="G9677"/>
    <cellWatch r="G9678"/>
    <cellWatch r="G9679"/>
    <cellWatch r="G9680"/>
    <cellWatch r="G9681"/>
    <cellWatch r="G9682"/>
    <cellWatch r="G9683"/>
    <cellWatch r="G9684"/>
    <cellWatch r="G9685"/>
    <cellWatch r="G9686"/>
    <cellWatch r="G9687"/>
    <cellWatch r="G9688"/>
    <cellWatch r="G9689"/>
    <cellWatch r="G9690"/>
    <cellWatch r="G9691"/>
    <cellWatch r="G9692"/>
    <cellWatch r="G9693"/>
    <cellWatch r="G9694"/>
    <cellWatch r="G9695"/>
    <cellWatch r="G9696"/>
    <cellWatch r="G9697"/>
    <cellWatch r="G9698"/>
    <cellWatch r="G9699"/>
    <cellWatch r="G9700"/>
    <cellWatch r="G9701"/>
    <cellWatch r="G9702"/>
    <cellWatch r="G9703"/>
    <cellWatch r="G9704"/>
    <cellWatch r="G9705"/>
    <cellWatch r="G9706"/>
    <cellWatch r="G9707"/>
    <cellWatch r="G9708"/>
    <cellWatch r="G9709"/>
    <cellWatch r="G9710"/>
    <cellWatch r="G9711"/>
    <cellWatch r="G9712"/>
    <cellWatch r="G9713"/>
    <cellWatch r="G9714"/>
    <cellWatch r="G9715"/>
    <cellWatch r="G9716"/>
    <cellWatch r="G9717"/>
    <cellWatch r="G9718"/>
    <cellWatch r="G9719"/>
    <cellWatch r="G9720"/>
    <cellWatch r="G9721"/>
    <cellWatch r="G9722"/>
    <cellWatch r="G9723"/>
    <cellWatch r="G9724"/>
    <cellWatch r="G9725"/>
    <cellWatch r="G9726"/>
    <cellWatch r="G9727"/>
    <cellWatch r="G9728"/>
    <cellWatch r="G9729"/>
    <cellWatch r="G9730"/>
    <cellWatch r="G9731"/>
    <cellWatch r="G9732"/>
    <cellWatch r="G9733"/>
    <cellWatch r="G9734"/>
    <cellWatch r="G9735"/>
    <cellWatch r="G9736"/>
    <cellWatch r="G9737"/>
    <cellWatch r="G9738"/>
    <cellWatch r="G9739"/>
    <cellWatch r="G9740"/>
    <cellWatch r="G9741"/>
    <cellWatch r="G9742"/>
    <cellWatch r="G9743"/>
    <cellWatch r="G9744"/>
    <cellWatch r="G9745"/>
    <cellWatch r="G9746"/>
    <cellWatch r="G9747"/>
    <cellWatch r="G9748"/>
    <cellWatch r="G9749"/>
    <cellWatch r="G9750"/>
    <cellWatch r="G9751"/>
    <cellWatch r="G9752"/>
    <cellWatch r="G9753"/>
    <cellWatch r="G9754"/>
    <cellWatch r="G9755"/>
    <cellWatch r="G9756"/>
    <cellWatch r="G9757"/>
    <cellWatch r="G9758"/>
    <cellWatch r="G9759"/>
    <cellWatch r="G9760"/>
    <cellWatch r="G9761"/>
    <cellWatch r="G9762"/>
    <cellWatch r="G9763"/>
    <cellWatch r="G9764"/>
    <cellWatch r="G9765"/>
    <cellWatch r="G9766"/>
    <cellWatch r="G9767"/>
    <cellWatch r="G9768"/>
    <cellWatch r="G9769"/>
    <cellWatch r="G9770"/>
    <cellWatch r="G9771"/>
    <cellWatch r="G9772"/>
    <cellWatch r="G9773"/>
    <cellWatch r="G9774"/>
    <cellWatch r="G9775"/>
    <cellWatch r="G9776"/>
    <cellWatch r="G9777"/>
    <cellWatch r="G9778"/>
    <cellWatch r="G9779"/>
    <cellWatch r="G9780"/>
    <cellWatch r="G9781"/>
    <cellWatch r="G9782"/>
    <cellWatch r="G9783"/>
    <cellWatch r="G9784"/>
    <cellWatch r="G9785"/>
    <cellWatch r="G9786"/>
    <cellWatch r="G9787"/>
    <cellWatch r="G9788"/>
    <cellWatch r="G9789"/>
    <cellWatch r="G9790"/>
    <cellWatch r="G9791"/>
    <cellWatch r="G9792"/>
    <cellWatch r="G9793"/>
    <cellWatch r="G9794"/>
    <cellWatch r="G9795"/>
    <cellWatch r="G9796"/>
    <cellWatch r="G9797"/>
    <cellWatch r="G9798"/>
    <cellWatch r="G9799"/>
    <cellWatch r="G9800"/>
    <cellWatch r="G9801"/>
    <cellWatch r="G9802"/>
    <cellWatch r="G9803"/>
    <cellWatch r="G9804"/>
    <cellWatch r="G9805"/>
    <cellWatch r="G9806"/>
    <cellWatch r="G9807"/>
    <cellWatch r="G9808"/>
    <cellWatch r="G9809"/>
    <cellWatch r="G9810"/>
    <cellWatch r="G9811"/>
    <cellWatch r="G9812"/>
    <cellWatch r="G9813"/>
    <cellWatch r="G9814"/>
    <cellWatch r="G9815"/>
    <cellWatch r="G9816"/>
    <cellWatch r="G9817"/>
    <cellWatch r="G9818"/>
    <cellWatch r="G9819"/>
    <cellWatch r="G9820"/>
    <cellWatch r="G9821"/>
    <cellWatch r="G9822"/>
    <cellWatch r="G9823"/>
    <cellWatch r="G9824"/>
    <cellWatch r="G9825"/>
    <cellWatch r="G9826"/>
    <cellWatch r="G9827"/>
    <cellWatch r="G9828"/>
    <cellWatch r="G9829"/>
    <cellWatch r="G9830"/>
    <cellWatch r="G9831"/>
    <cellWatch r="G9832"/>
    <cellWatch r="G9833"/>
    <cellWatch r="G9834"/>
    <cellWatch r="G9835"/>
    <cellWatch r="G9836"/>
    <cellWatch r="G9837"/>
    <cellWatch r="G9838"/>
    <cellWatch r="G9839"/>
    <cellWatch r="G9840"/>
    <cellWatch r="G9841"/>
    <cellWatch r="G9842"/>
    <cellWatch r="G9843"/>
    <cellWatch r="G9844"/>
    <cellWatch r="G9845"/>
    <cellWatch r="G9846"/>
    <cellWatch r="G9847"/>
    <cellWatch r="G9848"/>
    <cellWatch r="G9849"/>
    <cellWatch r="G9850"/>
    <cellWatch r="G9851"/>
    <cellWatch r="G9852"/>
    <cellWatch r="G9853"/>
    <cellWatch r="G9854"/>
    <cellWatch r="G9855"/>
    <cellWatch r="G9856"/>
    <cellWatch r="G9857"/>
    <cellWatch r="G9858"/>
    <cellWatch r="G9859"/>
    <cellWatch r="G9860"/>
    <cellWatch r="G9861"/>
    <cellWatch r="G9862"/>
    <cellWatch r="G9863"/>
    <cellWatch r="G9864"/>
    <cellWatch r="G9865"/>
    <cellWatch r="G9866"/>
    <cellWatch r="G9867"/>
    <cellWatch r="G9868"/>
    <cellWatch r="G9869"/>
    <cellWatch r="G9870"/>
    <cellWatch r="G9871"/>
    <cellWatch r="G9872"/>
    <cellWatch r="G9873"/>
    <cellWatch r="G9874"/>
    <cellWatch r="G9875"/>
    <cellWatch r="G9876"/>
    <cellWatch r="G9877"/>
    <cellWatch r="G9878"/>
    <cellWatch r="G9879"/>
    <cellWatch r="G9880"/>
    <cellWatch r="G9881"/>
    <cellWatch r="G9882"/>
    <cellWatch r="G9883"/>
    <cellWatch r="G9884"/>
    <cellWatch r="G9885"/>
    <cellWatch r="G9886"/>
    <cellWatch r="G9887"/>
    <cellWatch r="G9888"/>
    <cellWatch r="G9889"/>
    <cellWatch r="G9890"/>
    <cellWatch r="G9891"/>
    <cellWatch r="G9892"/>
    <cellWatch r="G9893"/>
    <cellWatch r="G9894"/>
    <cellWatch r="G9895"/>
    <cellWatch r="G9896"/>
    <cellWatch r="G9897"/>
    <cellWatch r="G9898"/>
    <cellWatch r="G9899"/>
    <cellWatch r="G9900"/>
    <cellWatch r="G9901"/>
    <cellWatch r="G9902"/>
    <cellWatch r="G9903"/>
    <cellWatch r="G9904"/>
    <cellWatch r="G9905"/>
    <cellWatch r="G9906"/>
    <cellWatch r="G9907"/>
    <cellWatch r="G9908"/>
    <cellWatch r="G9909"/>
    <cellWatch r="G9910"/>
    <cellWatch r="G9911"/>
    <cellWatch r="G9912"/>
    <cellWatch r="G9913"/>
    <cellWatch r="G9914"/>
    <cellWatch r="G9915"/>
    <cellWatch r="G9916"/>
    <cellWatch r="G9917"/>
    <cellWatch r="G9918"/>
    <cellWatch r="G9919"/>
    <cellWatch r="G9920"/>
    <cellWatch r="G9921"/>
    <cellWatch r="G9922"/>
    <cellWatch r="G9923"/>
    <cellWatch r="G9924"/>
    <cellWatch r="G9925"/>
    <cellWatch r="G9926"/>
    <cellWatch r="G9927"/>
    <cellWatch r="G9928"/>
    <cellWatch r="G9929"/>
    <cellWatch r="G9930"/>
    <cellWatch r="G9931"/>
    <cellWatch r="G9932"/>
    <cellWatch r="G9933"/>
    <cellWatch r="G9934"/>
    <cellWatch r="G9935"/>
    <cellWatch r="G9936"/>
    <cellWatch r="G9937"/>
    <cellWatch r="G9938"/>
    <cellWatch r="G9939"/>
    <cellWatch r="G9940"/>
    <cellWatch r="G9941"/>
    <cellWatch r="G9942"/>
    <cellWatch r="G9943"/>
    <cellWatch r="G9944"/>
    <cellWatch r="G9945"/>
    <cellWatch r="G9946"/>
    <cellWatch r="G9947"/>
    <cellWatch r="G9948"/>
    <cellWatch r="G9949"/>
    <cellWatch r="G9950"/>
    <cellWatch r="G9951"/>
    <cellWatch r="G9952"/>
    <cellWatch r="G9953"/>
    <cellWatch r="G9954"/>
    <cellWatch r="G9955"/>
    <cellWatch r="G9956"/>
    <cellWatch r="G9957"/>
    <cellWatch r="G9958"/>
    <cellWatch r="G9959"/>
    <cellWatch r="G9960"/>
    <cellWatch r="G9961"/>
    <cellWatch r="G9962"/>
    <cellWatch r="G9963"/>
    <cellWatch r="G9964"/>
    <cellWatch r="G9965"/>
    <cellWatch r="G9966"/>
    <cellWatch r="G9967"/>
    <cellWatch r="G9968"/>
    <cellWatch r="G9969"/>
    <cellWatch r="G9970"/>
    <cellWatch r="G9971"/>
    <cellWatch r="G9972"/>
    <cellWatch r="G9973"/>
    <cellWatch r="G9974"/>
    <cellWatch r="G9975"/>
    <cellWatch r="G9976"/>
    <cellWatch r="G9977"/>
    <cellWatch r="G9978"/>
    <cellWatch r="G9979"/>
    <cellWatch r="G9980"/>
    <cellWatch r="G9981"/>
    <cellWatch r="G9982"/>
    <cellWatch r="G9983"/>
    <cellWatch r="G9984"/>
    <cellWatch r="G9985"/>
    <cellWatch r="G9986"/>
    <cellWatch r="G9987"/>
    <cellWatch r="G9988"/>
    <cellWatch r="G9989"/>
    <cellWatch r="G9990"/>
    <cellWatch r="G9991"/>
    <cellWatch r="G9992"/>
    <cellWatch r="G9993"/>
    <cellWatch r="G9994"/>
    <cellWatch r="G9995"/>
    <cellWatch r="G9996"/>
    <cellWatch r="G9997"/>
    <cellWatch r="G9998"/>
    <cellWatch r="G9999"/>
    <cellWatch r="G10000"/>
    <cellWatch r="G10001"/>
    <cellWatch r="G10002"/>
    <cellWatch r="G10003"/>
    <cellWatch r="G10004"/>
    <cellWatch r="G10005"/>
    <cellWatch r="G10006"/>
    <cellWatch r="G10007"/>
    <cellWatch r="G10008"/>
    <cellWatch r="G10009"/>
    <cellWatch r="G10010"/>
    <cellWatch r="G10011"/>
    <cellWatch r="G10012"/>
    <cellWatch r="G10013"/>
    <cellWatch r="G10014"/>
    <cellWatch r="G10015"/>
    <cellWatch r="G10016"/>
    <cellWatch r="G10017"/>
    <cellWatch r="G10018"/>
    <cellWatch r="G10019"/>
    <cellWatch r="G10020"/>
    <cellWatch r="G10021"/>
    <cellWatch r="G10022"/>
    <cellWatch r="G10023"/>
    <cellWatch r="G10024"/>
    <cellWatch r="G10025"/>
    <cellWatch r="G10026"/>
    <cellWatch r="G10027"/>
    <cellWatch r="G10028"/>
    <cellWatch r="G10029"/>
    <cellWatch r="G10030"/>
    <cellWatch r="G10031"/>
    <cellWatch r="G10032"/>
    <cellWatch r="G10033"/>
    <cellWatch r="G10034"/>
    <cellWatch r="G10035"/>
    <cellWatch r="G10036"/>
    <cellWatch r="G10037"/>
    <cellWatch r="G10038"/>
    <cellWatch r="G10039"/>
    <cellWatch r="G10040"/>
    <cellWatch r="G10041"/>
    <cellWatch r="G10042"/>
    <cellWatch r="G10043"/>
    <cellWatch r="G10044"/>
    <cellWatch r="G10045"/>
    <cellWatch r="G10046"/>
    <cellWatch r="G10047"/>
    <cellWatch r="G10048"/>
    <cellWatch r="G10049"/>
    <cellWatch r="G10050"/>
    <cellWatch r="G10051"/>
    <cellWatch r="G10052"/>
    <cellWatch r="G10053"/>
    <cellWatch r="G10054"/>
    <cellWatch r="G10055"/>
    <cellWatch r="G10056"/>
    <cellWatch r="G10057"/>
    <cellWatch r="G10058"/>
    <cellWatch r="G10059"/>
    <cellWatch r="G10060"/>
    <cellWatch r="G10061"/>
    <cellWatch r="G10062"/>
    <cellWatch r="G10063"/>
    <cellWatch r="G10064"/>
    <cellWatch r="G10065"/>
    <cellWatch r="G10066"/>
    <cellWatch r="G10067"/>
    <cellWatch r="G10068"/>
    <cellWatch r="G10069"/>
    <cellWatch r="G10070"/>
    <cellWatch r="G10071"/>
    <cellWatch r="G10072"/>
    <cellWatch r="G10073"/>
    <cellWatch r="G10074"/>
    <cellWatch r="G10075"/>
    <cellWatch r="G10076"/>
    <cellWatch r="G10077"/>
    <cellWatch r="G10078"/>
    <cellWatch r="G10079"/>
    <cellWatch r="G10080"/>
    <cellWatch r="G10081"/>
    <cellWatch r="G10082"/>
    <cellWatch r="G10083"/>
    <cellWatch r="G10084"/>
    <cellWatch r="G10085"/>
    <cellWatch r="G10086"/>
    <cellWatch r="G10087"/>
    <cellWatch r="G10088"/>
    <cellWatch r="G10089"/>
    <cellWatch r="G10090"/>
    <cellWatch r="G10091"/>
    <cellWatch r="G10092"/>
    <cellWatch r="G10093"/>
    <cellWatch r="G10094"/>
    <cellWatch r="G10095"/>
    <cellWatch r="G10096"/>
    <cellWatch r="G10097"/>
    <cellWatch r="G10098"/>
    <cellWatch r="G10099"/>
    <cellWatch r="G10100"/>
    <cellWatch r="G10101"/>
    <cellWatch r="G10102"/>
    <cellWatch r="G10103"/>
    <cellWatch r="G10104"/>
    <cellWatch r="G10105"/>
    <cellWatch r="G10106"/>
    <cellWatch r="G10107"/>
    <cellWatch r="G10108"/>
    <cellWatch r="G10109"/>
    <cellWatch r="G10110"/>
    <cellWatch r="G10111"/>
    <cellWatch r="G10112"/>
    <cellWatch r="G10113"/>
    <cellWatch r="G10114"/>
    <cellWatch r="G10115"/>
    <cellWatch r="G10116"/>
    <cellWatch r="G10117"/>
    <cellWatch r="G10118"/>
    <cellWatch r="G10119"/>
    <cellWatch r="G10120"/>
    <cellWatch r="G10121"/>
    <cellWatch r="G10122"/>
    <cellWatch r="G10123"/>
    <cellWatch r="G10124"/>
    <cellWatch r="G10125"/>
    <cellWatch r="G10126"/>
    <cellWatch r="G10127"/>
    <cellWatch r="G10128"/>
    <cellWatch r="G10129"/>
    <cellWatch r="G10130"/>
    <cellWatch r="G10131"/>
    <cellWatch r="G10132"/>
    <cellWatch r="G10133"/>
    <cellWatch r="G10134"/>
    <cellWatch r="G10135"/>
    <cellWatch r="G10136"/>
    <cellWatch r="G10137"/>
    <cellWatch r="G10138"/>
    <cellWatch r="G10139"/>
    <cellWatch r="G10140"/>
    <cellWatch r="G10141"/>
    <cellWatch r="G10142"/>
    <cellWatch r="G10143"/>
    <cellWatch r="G10144"/>
    <cellWatch r="G10145"/>
    <cellWatch r="G10146"/>
    <cellWatch r="G10147"/>
    <cellWatch r="G10148"/>
    <cellWatch r="G10149"/>
    <cellWatch r="G10150"/>
    <cellWatch r="G10151"/>
    <cellWatch r="G10152"/>
    <cellWatch r="G10153"/>
    <cellWatch r="G10154"/>
    <cellWatch r="G10155"/>
    <cellWatch r="G10156"/>
    <cellWatch r="G10157"/>
    <cellWatch r="G10158"/>
    <cellWatch r="G10159"/>
    <cellWatch r="G10160"/>
    <cellWatch r="G10161"/>
    <cellWatch r="G10162"/>
    <cellWatch r="G10163"/>
    <cellWatch r="G10164"/>
    <cellWatch r="G10165"/>
    <cellWatch r="G10166"/>
    <cellWatch r="G10167"/>
    <cellWatch r="G10168"/>
    <cellWatch r="G10169"/>
    <cellWatch r="G10170"/>
    <cellWatch r="G10171"/>
    <cellWatch r="G10172"/>
    <cellWatch r="G10173"/>
    <cellWatch r="G10174"/>
    <cellWatch r="G10175"/>
    <cellWatch r="G10176"/>
    <cellWatch r="G10177"/>
    <cellWatch r="G10178"/>
    <cellWatch r="G10179"/>
    <cellWatch r="G10180"/>
    <cellWatch r="G10181"/>
    <cellWatch r="G10182"/>
    <cellWatch r="G10183"/>
    <cellWatch r="G10184"/>
    <cellWatch r="G10185"/>
    <cellWatch r="G10186"/>
    <cellWatch r="G10187"/>
    <cellWatch r="G10188"/>
    <cellWatch r="G10189"/>
    <cellWatch r="G10190"/>
    <cellWatch r="G10191"/>
    <cellWatch r="G10192"/>
    <cellWatch r="G10193"/>
    <cellWatch r="G10194"/>
    <cellWatch r="G10195"/>
    <cellWatch r="G10196"/>
    <cellWatch r="G10197"/>
    <cellWatch r="G10198"/>
    <cellWatch r="G10199"/>
    <cellWatch r="G10200"/>
    <cellWatch r="G10201"/>
    <cellWatch r="G10202"/>
    <cellWatch r="G10203"/>
    <cellWatch r="G10204"/>
    <cellWatch r="G10205"/>
    <cellWatch r="G10206"/>
    <cellWatch r="G10207"/>
    <cellWatch r="G10208"/>
    <cellWatch r="G10209"/>
    <cellWatch r="G10210"/>
    <cellWatch r="G10211"/>
    <cellWatch r="G10212"/>
    <cellWatch r="G10213"/>
    <cellWatch r="G10214"/>
    <cellWatch r="G10215"/>
    <cellWatch r="G10216"/>
    <cellWatch r="G10217"/>
    <cellWatch r="G10218"/>
    <cellWatch r="G10219"/>
    <cellWatch r="G10220"/>
    <cellWatch r="G10221"/>
    <cellWatch r="G10222"/>
    <cellWatch r="G10223"/>
    <cellWatch r="G10224"/>
    <cellWatch r="G10225"/>
    <cellWatch r="G10226"/>
    <cellWatch r="G10227"/>
    <cellWatch r="G10228"/>
    <cellWatch r="G10229"/>
    <cellWatch r="G10230"/>
    <cellWatch r="G10231"/>
    <cellWatch r="G10232"/>
    <cellWatch r="G10233"/>
    <cellWatch r="G10234"/>
    <cellWatch r="G10235"/>
    <cellWatch r="G10236"/>
    <cellWatch r="G10237"/>
    <cellWatch r="G10238"/>
    <cellWatch r="G10239"/>
    <cellWatch r="G10240"/>
    <cellWatch r="G10241"/>
    <cellWatch r="G10242"/>
    <cellWatch r="G10243"/>
    <cellWatch r="G10244"/>
    <cellWatch r="G10245"/>
    <cellWatch r="G10246"/>
    <cellWatch r="G10247"/>
    <cellWatch r="G10248"/>
    <cellWatch r="G10249"/>
    <cellWatch r="G10250"/>
    <cellWatch r="G10251"/>
    <cellWatch r="G10252"/>
    <cellWatch r="G10253"/>
    <cellWatch r="G10254"/>
    <cellWatch r="G10255"/>
    <cellWatch r="G10256"/>
    <cellWatch r="G10257"/>
    <cellWatch r="G10258"/>
    <cellWatch r="G10259"/>
    <cellWatch r="G10260"/>
    <cellWatch r="G10261"/>
    <cellWatch r="G10262"/>
    <cellWatch r="G10263"/>
    <cellWatch r="G10264"/>
    <cellWatch r="G10265"/>
    <cellWatch r="G10266"/>
    <cellWatch r="G10267"/>
    <cellWatch r="G10268"/>
    <cellWatch r="G10269"/>
    <cellWatch r="G10270"/>
    <cellWatch r="G10271"/>
    <cellWatch r="G10272"/>
    <cellWatch r="G10273"/>
    <cellWatch r="G10274"/>
    <cellWatch r="G10275"/>
    <cellWatch r="G10276"/>
    <cellWatch r="G10277"/>
    <cellWatch r="G10278"/>
    <cellWatch r="G10279"/>
    <cellWatch r="G10280"/>
    <cellWatch r="G10281"/>
    <cellWatch r="G10282"/>
    <cellWatch r="G10283"/>
    <cellWatch r="G10284"/>
    <cellWatch r="G10285"/>
    <cellWatch r="G10286"/>
    <cellWatch r="G10287"/>
    <cellWatch r="G10288"/>
    <cellWatch r="G10289"/>
    <cellWatch r="G10290"/>
    <cellWatch r="G10291"/>
    <cellWatch r="G10292"/>
    <cellWatch r="G10293"/>
    <cellWatch r="G10294"/>
    <cellWatch r="G10295"/>
    <cellWatch r="G10296"/>
    <cellWatch r="G10297"/>
    <cellWatch r="G10298"/>
    <cellWatch r="G10299"/>
    <cellWatch r="G10300"/>
    <cellWatch r="G10301"/>
    <cellWatch r="G10302"/>
    <cellWatch r="G10303"/>
    <cellWatch r="G10304"/>
    <cellWatch r="G10305"/>
    <cellWatch r="G10306"/>
    <cellWatch r="G10307"/>
    <cellWatch r="G10308"/>
    <cellWatch r="G10309"/>
    <cellWatch r="G10310"/>
    <cellWatch r="G10311"/>
    <cellWatch r="G10312"/>
    <cellWatch r="G10313"/>
    <cellWatch r="G10314"/>
    <cellWatch r="G10315"/>
    <cellWatch r="G10316"/>
    <cellWatch r="G10317"/>
    <cellWatch r="G10318"/>
    <cellWatch r="G10319"/>
    <cellWatch r="G10320"/>
    <cellWatch r="G10321"/>
    <cellWatch r="G10322"/>
    <cellWatch r="G10323"/>
    <cellWatch r="G10324"/>
    <cellWatch r="G10325"/>
    <cellWatch r="G10326"/>
    <cellWatch r="G10327"/>
    <cellWatch r="G10328"/>
    <cellWatch r="G10329"/>
    <cellWatch r="G10330"/>
    <cellWatch r="G10331"/>
    <cellWatch r="G10332"/>
    <cellWatch r="G10333"/>
    <cellWatch r="G10334"/>
    <cellWatch r="G10335"/>
    <cellWatch r="G10336"/>
    <cellWatch r="G10337"/>
    <cellWatch r="G10338"/>
    <cellWatch r="G10339"/>
    <cellWatch r="G10340"/>
    <cellWatch r="G10341"/>
    <cellWatch r="G10342"/>
    <cellWatch r="G10343"/>
    <cellWatch r="G10344"/>
    <cellWatch r="G10345"/>
    <cellWatch r="G10346"/>
    <cellWatch r="G10347"/>
    <cellWatch r="G10348"/>
    <cellWatch r="G10349"/>
    <cellWatch r="G10350"/>
    <cellWatch r="G10351"/>
    <cellWatch r="G10352"/>
    <cellWatch r="G10353"/>
    <cellWatch r="G10354"/>
    <cellWatch r="G10355"/>
    <cellWatch r="G10356"/>
    <cellWatch r="G10357"/>
    <cellWatch r="G10358"/>
    <cellWatch r="G10359"/>
    <cellWatch r="G10360"/>
    <cellWatch r="G10361"/>
    <cellWatch r="G10362"/>
    <cellWatch r="G10363"/>
    <cellWatch r="G10364"/>
    <cellWatch r="G10365"/>
    <cellWatch r="G10366"/>
    <cellWatch r="G10367"/>
    <cellWatch r="G10368"/>
    <cellWatch r="G10369"/>
    <cellWatch r="G10370"/>
    <cellWatch r="G10371"/>
    <cellWatch r="G10372"/>
    <cellWatch r="G10373"/>
    <cellWatch r="G10374"/>
    <cellWatch r="G10375"/>
    <cellWatch r="G10376"/>
    <cellWatch r="G10377"/>
    <cellWatch r="G10378"/>
    <cellWatch r="G10379"/>
    <cellWatch r="G10380"/>
    <cellWatch r="G10381"/>
    <cellWatch r="G10382"/>
    <cellWatch r="G10383"/>
    <cellWatch r="G10384"/>
    <cellWatch r="G10385"/>
    <cellWatch r="G10386"/>
    <cellWatch r="G10387"/>
    <cellWatch r="G10388"/>
    <cellWatch r="G10389"/>
    <cellWatch r="G10390"/>
    <cellWatch r="G10391"/>
    <cellWatch r="G10392"/>
    <cellWatch r="G10393"/>
    <cellWatch r="G10394"/>
    <cellWatch r="G10395"/>
    <cellWatch r="G10396"/>
    <cellWatch r="G10397"/>
    <cellWatch r="G10398"/>
    <cellWatch r="G10399"/>
    <cellWatch r="G10400"/>
    <cellWatch r="G10401"/>
    <cellWatch r="G10402"/>
    <cellWatch r="G10403"/>
    <cellWatch r="G10404"/>
    <cellWatch r="G10405"/>
    <cellWatch r="G10406"/>
    <cellWatch r="G10407"/>
    <cellWatch r="G10408"/>
    <cellWatch r="G10409"/>
    <cellWatch r="G10410"/>
    <cellWatch r="G10411"/>
    <cellWatch r="G10412"/>
    <cellWatch r="G10413"/>
    <cellWatch r="G10414"/>
    <cellWatch r="G10415"/>
    <cellWatch r="G10416"/>
    <cellWatch r="G10417"/>
    <cellWatch r="G10418"/>
    <cellWatch r="G10419"/>
    <cellWatch r="G10420"/>
    <cellWatch r="G10421"/>
    <cellWatch r="G10422"/>
    <cellWatch r="G10423"/>
    <cellWatch r="G10424"/>
    <cellWatch r="G10425"/>
    <cellWatch r="G10426"/>
    <cellWatch r="G10427"/>
    <cellWatch r="G10428"/>
    <cellWatch r="G10429"/>
    <cellWatch r="G10430"/>
    <cellWatch r="G10431"/>
    <cellWatch r="G10432"/>
    <cellWatch r="G10433"/>
    <cellWatch r="G10434"/>
    <cellWatch r="G10435"/>
    <cellWatch r="G10436"/>
    <cellWatch r="G10437"/>
    <cellWatch r="G10438"/>
    <cellWatch r="G10439"/>
    <cellWatch r="G10440"/>
    <cellWatch r="G10441"/>
    <cellWatch r="G10442"/>
    <cellWatch r="G10443"/>
    <cellWatch r="G10444"/>
    <cellWatch r="G10445"/>
    <cellWatch r="G10446"/>
    <cellWatch r="G10447"/>
    <cellWatch r="G10448"/>
    <cellWatch r="G10449"/>
    <cellWatch r="G10450"/>
    <cellWatch r="G10451"/>
    <cellWatch r="G10452"/>
    <cellWatch r="G10453"/>
    <cellWatch r="G10454"/>
    <cellWatch r="G10455"/>
    <cellWatch r="G10456"/>
    <cellWatch r="G10457"/>
    <cellWatch r="G10458"/>
    <cellWatch r="G10459"/>
    <cellWatch r="G10460"/>
    <cellWatch r="G10461"/>
    <cellWatch r="G10462"/>
    <cellWatch r="G10463"/>
    <cellWatch r="G10464"/>
    <cellWatch r="G10465"/>
    <cellWatch r="G10466"/>
    <cellWatch r="G10467"/>
    <cellWatch r="G10468"/>
    <cellWatch r="G10469"/>
    <cellWatch r="G10470"/>
    <cellWatch r="G10471"/>
    <cellWatch r="G10472"/>
    <cellWatch r="G10473"/>
    <cellWatch r="G10474"/>
    <cellWatch r="G10475"/>
    <cellWatch r="G10476"/>
    <cellWatch r="G10477"/>
    <cellWatch r="G10478"/>
    <cellWatch r="G10479"/>
    <cellWatch r="G10480"/>
    <cellWatch r="G10481"/>
    <cellWatch r="G10482"/>
    <cellWatch r="G10483"/>
    <cellWatch r="G10484"/>
    <cellWatch r="G10485"/>
    <cellWatch r="G10486"/>
    <cellWatch r="G10487"/>
    <cellWatch r="G10488"/>
    <cellWatch r="G10489"/>
    <cellWatch r="G10490"/>
    <cellWatch r="G10491"/>
    <cellWatch r="G10492"/>
    <cellWatch r="G10493"/>
    <cellWatch r="G10494"/>
    <cellWatch r="G10495"/>
    <cellWatch r="G10496"/>
    <cellWatch r="G10497"/>
    <cellWatch r="G10498"/>
    <cellWatch r="G10499"/>
    <cellWatch r="G10500"/>
    <cellWatch r="G10501"/>
    <cellWatch r="G10502"/>
    <cellWatch r="G10503"/>
    <cellWatch r="G10504"/>
    <cellWatch r="G10505"/>
    <cellWatch r="G10506"/>
    <cellWatch r="G10507"/>
    <cellWatch r="G10508"/>
    <cellWatch r="G10509"/>
    <cellWatch r="G10510"/>
    <cellWatch r="G10511"/>
    <cellWatch r="G10512"/>
    <cellWatch r="G10513"/>
    <cellWatch r="G10514"/>
    <cellWatch r="G10515"/>
    <cellWatch r="G10516"/>
    <cellWatch r="G10517"/>
    <cellWatch r="G10518"/>
    <cellWatch r="G10519"/>
    <cellWatch r="G10520"/>
    <cellWatch r="G10521"/>
    <cellWatch r="G10522"/>
    <cellWatch r="G10523"/>
    <cellWatch r="G10524"/>
    <cellWatch r="G10525"/>
    <cellWatch r="G10526"/>
    <cellWatch r="G10527"/>
    <cellWatch r="G10528"/>
    <cellWatch r="G10529"/>
    <cellWatch r="G10530"/>
    <cellWatch r="G10531"/>
    <cellWatch r="G10532"/>
    <cellWatch r="G10533"/>
    <cellWatch r="G10534"/>
    <cellWatch r="G10535"/>
    <cellWatch r="G10536"/>
    <cellWatch r="G10537"/>
    <cellWatch r="G10538"/>
    <cellWatch r="G10539"/>
    <cellWatch r="G10540"/>
    <cellWatch r="G10541"/>
    <cellWatch r="G10542"/>
    <cellWatch r="G10543"/>
    <cellWatch r="G10544"/>
    <cellWatch r="G10545"/>
    <cellWatch r="G10546"/>
    <cellWatch r="G10547"/>
    <cellWatch r="G10548"/>
    <cellWatch r="G10549"/>
    <cellWatch r="G10550"/>
    <cellWatch r="G10551"/>
    <cellWatch r="G10552"/>
    <cellWatch r="G10553"/>
    <cellWatch r="G10554"/>
    <cellWatch r="G10555"/>
    <cellWatch r="G10556"/>
    <cellWatch r="G10557"/>
    <cellWatch r="G10558"/>
    <cellWatch r="G10559"/>
    <cellWatch r="G10560"/>
    <cellWatch r="G10561"/>
    <cellWatch r="G10562"/>
    <cellWatch r="G10563"/>
    <cellWatch r="G10564"/>
    <cellWatch r="G10565"/>
    <cellWatch r="G10566"/>
    <cellWatch r="G10567"/>
    <cellWatch r="G10568"/>
    <cellWatch r="G10569"/>
    <cellWatch r="G10570"/>
    <cellWatch r="G10571"/>
    <cellWatch r="G10572"/>
    <cellWatch r="G10573"/>
    <cellWatch r="G10574"/>
    <cellWatch r="G10575"/>
    <cellWatch r="G10576"/>
    <cellWatch r="G10577"/>
    <cellWatch r="G10578"/>
    <cellWatch r="G10579"/>
    <cellWatch r="G10580"/>
    <cellWatch r="G10581"/>
    <cellWatch r="G10582"/>
    <cellWatch r="G10583"/>
    <cellWatch r="G10584"/>
    <cellWatch r="G10585"/>
    <cellWatch r="G10586"/>
    <cellWatch r="G10587"/>
    <cellWatch r="G10588"/>
    <cellWatch r="G10589"/>
    <cellWatch r="G10590"/>
    <cellWatch r="G10591"/>
    <cellWatch r="G10592"/>
    <cellWatch r="G10593"/>
    <cellWatch r="G10594"/>
    <cellWatch r="G10595"/>
    <cellWatch r="G10596"/>
    <cellWatch r="G10597"/>
    <cellWatch r="G10598"/>
    <cellWatch r="G10599"/>
    <cellWatch r="G10600"/>
    <cellWatch r="G10601"/>
    <cellWatch r="G10602"/>
    <cellWatch r="G10603"/>
    <cellWatch r="G10604"/>
    <cellWatch r="G10605"/>
    <cellWatch r="G10606"/>
    <cellWatch r="G10607"/>
    <cellWatch r="G10608"/>
    <cellWatch r="G10609"/>
    <cellWatch r="G10610"/>
    <cellWatch r="G10611"/>
    <cellWatch r="G10612"/>
    <cellWatch r="G10613"/>
    <cellWatch r="G10614"/>
    <cellWatch r="G10615"/>
    <cellWatch r="G10616"/>
    <cellWatch r="G10617"/>
    <cellWatch r="G10618"/>
    <cellWatch r="G10619"/>
    <cellWatch r="G10620"/>
    <cellWatch r="G10621"/>
    <cellWatch r="G10622"/>
    <cellWatch r="G10623"/>
    <cellWatch r="G10624"/>
    <cellWatch r="G10625"/>
    <cellWatch r="G10626"/>
    <cellWatch r="G10627"/>
    <cellWatch r="G10628"/>
    <cellWatch r="G10629"/>
    <cellWatch r="G10630"/>
    <cellWatch r="G10631"/>
    <cellWatch r="G10632"/>
    <cellWatch r="G10633"/>
    <cellWatch r="G10634"/>
    <cellWatch r="G10635"/>
    <cellWatch r="G10636"/>
    <cellWatch r="G10637"/>
    <cellWatch r="G10638"/>
    <cellWatch r="G10639"/>
    <cellWatch r="G10640"/>
    <cellWatch r="G10641"/>
    <cellWatch r="G10642"/>
    <cellWatch r="G10643"/>
    <cellWatch r="G10644"/>
    <cellWatch r="G10645"/>
    <cellWatch r="G10646"/>
    <cellWatch r="G10647"/>
    <cellWatch r="G10648"/>
    <cellWatch r="G10649"/>
    <cellWatch r="G10650"/>
    <cellWatch r="G10651"/>
    <cellWatch r="G10652"/>
    <cellWatch r="G10653"/>
    <cellWatch r="G10654"/>
    <cellWatch r="G10655"/>
    <cellWatch r="G10656"/>
    <cellWatch r="G10657"/>
    <cellWatch r="G10658"/>
    <cellWatch r="G10659"/>
    <cellWatch r="G10660"/>
    <cellWatch r="G10661"/>
    <cellWatch r="G10662"/>
    <cellWatch r="G10663"/>
    <cellWatch r="G10664"/>
    <cellWatch r="G10665"/>
    <cellWatch r="G10666"/>
    <cellWatch r="G10667"/>
    <cellWatch r="G10668"/>
    <cellWatch r="G10669"/>
    <cellWatch r="G10670"/>
    <cellWatch r="G10671"/>
    <cellWatch r="G10672"/>
    <cellWatch r="G10673"/>
    <cellWatch r="G10674"/>
    <cellWatch r="G10675"/>
    <cellWatch r="G10676"/>
    <cellWatch r="G10677"/>
    <cellWatch r="G10678"/>
    <cellWatch r="G10679"/>
    <cellWatch r="G10680"/>
    <cellWatch r="G10681"/>
    <cellWatch r="G10682"/>
    <cellWatch r="G10683"/>
    <cellWatch r="G10684"/>
    <cellWatch r="G10685"/>
    <cellWatch r="G10686"/>
    <cellWatch r="G10687"/>
    <cellWatch r="G10688"/>
    <cellWatch r="G10689"/>
    <cellWatch r="G10690"/>
    <cellWatch r="G10691"/>
    <cellWatch r="G10692"/>
    <cellWatch r="G10693"/>
    <cellWatch r="G10694"/>
    <cellWatch r="G10695"/>
    <cellWatch r="G10696"/>
    <cellWatch r="G10697"/>
    <cellWatch r="G10698"/>
    <cellWatch r="G10699"/>
    <cellWatch r="G10700"/>
    <cellWatch r="G10701"/>
    <cellWatch r="G10702"/>
    <cellWatch r="G10703"/>
    <cellWatch r="G10704"/>
    <cellWatch r="G10705"/>
    <cellWatch r="G10706"/>
    <cellWatch r="G10707"/>
    <cellWatch r="G10708"/>
    <cellWatch r="G10709"/>
    <cellWatch r="G10710"/>
    <cellWatch r="G10711"/>
    <cellWatch r="G10712"/>
    <cellWatch r="G10713"/>
    <cellWatch r="G10714"/>
    <cellWatch r="G10715"/>
    <cellWatch r="G10716"/>
    <cellWatch r="G10717"/>
    <cellWatch r="G10718"/>
    <cellWatch r="G10719"/>
    <cellWatch r="G10720"/>
    <cellWatch r="G10721"/>
    <cellWatch r="G10722"/>
    <cellWatch r="G10723"/>
    <cellWatch r="G10724"/>
    <cellWatch r="G10725"/>
    <cellWatch r="G10726"/>
    <cellWatch r="G10727"/>
    <cellWatch r="G10728"/>
    <cellWatch r="G10729"/>
    <cellWatch r="G10730"/>
    <cellWatch r="G10731"/>
    <cellWatch r="G10732"/>
    <cellWatch r="G10733"/>
    <cellWatch r="G10734"/>
    <cellWatch r="G10735"/>
    <cellWatch r="G10736"/>
    <cellWatch r="G10737"/>
    <cellWatch r="G10738"/>
    <cellWatch r="G10739"/>
    <cellWatch r="G10740"/>
    <cellWatch r="G10741"/>
    <cellWatch r="G10742"/>
    <cellWatch r="G10743"/>
    <cellWatch r="G10744"/>
    <cellWatch r="G10745"/>
    <cellWatch r="G10746"/>
    <cellWatch r="G10747"/>
    <cellWatch r="G10748"/>
    <cellWatch r="G10749"/>
    <cellWatch r="G10750"/>
    <cellWatch r="G10751"/>
    <cellWatch r="G10752"/>
    <cellWatch r="G10753"/>
    <cellWatch r="G10754"/>
    <cellWatch r="G10755"/>
    <cellWatch r="G10756"/>
    <cellWatch r="G10757"/>
    <cellWatch r="G10758"/>
    <cellWatch r="G10759"/>
    <cellWatch r="G10760"/>
    <cellWatch r="G10761"/>
    <cellWatch r="G10762"/>
    <cellWatch r="G10763"/>
    <cellWatch r="G10764"/>
    <cellWatch r="G10765"/>
    <cellWatch r="G10766"/>
    <cellWatch r="G10767"/>
    <cellWatch r="G10768"/>
    <cellWatch r="G10769"/>
    <cellWatch r="G10770"/>
    <cellWatch r="G10771"/>
    <cellWatch r="G10772"/>
    <cellWatch r="G10773"/>
    <cellWatch r="G10774"/>
    <cellWatch r="G10775"/>
    <cellWatch r="G10776"/>
    <cellWatch r="G10777"/>
    <cellWatch r="G10778"/>
    <cellWatch r="G10779"/>
    <cellWatch r="G10780"/>
    <cellWatch r="G10781"/>
    <cellWatch r="G10782"/>
    <cellWatch r="G10783"/>
    <cellWatch r="G10784"/>
    <cellWatch r="G10785"/>
    <cellWatch r="G10786"/>
    <cellWatch r="G10787"/>
    <cellWatch r="G10788"/>
    <cellWatch r="G10789"/>
    <cellWatch r="G10790"/>
    <cellWatch r="G10791"/>
    <cellWatch r="G10792"/>
    <cellWatch r="G10793"/>
    <cellWatch r="G10794"/>
    <cellWatch r="G10795"/>
    <cellWatch r="G10796"/>
    <cellWatch r="G10797"/>
    <cellWatch r="G10798"/>
    <cellWatch r="G10799"/>
    <cellWatch r="G10800"/>
    <cellWatch r="G10801"/>
    <cellWatch r="G10802"/>
    <cellWatch r="G10803"/>
    <cellWatch r="G10804"/>
    <cellWatch r="G10805"/>
    <cellWatch r="G10806"/>
    <cellWatch r="G10807"/>
    <cellWatch r="G10808"/>
    <cellWatch r="G10809"/>
    <cellWatch r="G10810"/>
    <cellWatch r="G10811"/>
    <cellWatch r="G10812"/>
    <cellWatch r="G10813"/>
    <cellWatch r="G10814"/>
    <cellWatch r="G10815"/>
    <cellWatch r="G10816"/>
    <cellWatch r="G10817"/>
    <cellWatch r="G10818"/>
    <cellWatch r="G10819"/>
    <cellWatch r="G10820"/>
    <cellWatch r="G10821"/>
    <cellWatch r="G10822"/>
    <cellWatch r="G10823"/>
    <cellWatch r="G10824"/>
    <cellWatch r="G10825"/>
    <cellWatch r="G10826"/>
    <cellWatch r="G10827"/>
    <cellWatch r="G10828"/>
    <cellWatch r="G10829"/>
    <cellWatch r="G10830"/>
    <cellWatch r="G10831"/>
    <cellWatch r="G10832"/>
    <cellWatch r="G10833"/>
    <cellWatch r="G10834"/>
    <cellWatch r="G10835"/>
    <cellWatch r="G10836"/>
    <cellWatch r="G10837"/>
    <cellWatch r="G10838"/>
    <cellWatch r="G10839"/>
    <cellWatch r="G10840"/>
    <cellWatch r="G10841"/>
    <cellWatch r="G10842"/>
    <cellWatch r="G10843"/>
    <cellWatch r="G10844"/>
    <cellWatch r="G10845"/>
    <cellWatch r="G10846"/>
    <cellWatch r="G10847"/>
    <cellWatch r="G10848"/>
    <cellWatch r="G10849"/>
    <cellWatch r="G10850"/>
    <cellWatch r="G10851"/>
    <cellWatch r="G10852"/>
    <cellWatch r="G10853"/>
    <cellWatch r="G10854"/>
    <cellWatch r="G10855"/>
    <cellWatch r="G10856"/>
    <cellWatch r="G10857"/>
    <cellWatch r="G10858"/>
    <cellWatch r="G10859"/>
    <cellWatch r="G10860"/>
    <cellWatch r="G10861"/>
    <cellWatch r="G10862"/>
    <cellWatch r="G10863"/>
    <cellWatch r="G10864"/>
    <cellWatch r="G10865"/>
    <cellWatch r="G10866"/>
    <cellWatch r="G10867"/>
    <cellWatch r="G10868"/>
    <cellWatch r="G10869"/>
    <cellWatch r="G10870"/>
    <cellWatch r="G10871"/>
    <cellWatch r="G10872"/>
    <cellWatch r="G10873"/>
    <cellWatch r="G10874"/>
    <cellWatch r="G10875"/>
    <cellWatch r="G10876"/>
    <cellWatch r="G10877"/>
    <cellWatch r="G10878"/>
    <cellWatch r="G10879"/>
    <cellWatch r="G10880"/>
    <cellWatch r="G10881"/>
    <cellWatch r="G10882"/>
    <cellWatch r="G10883"/>
    <cellWatch r="G10884"/>
    <cellWatch r="G10885"/>
    <cellWatch r="G10886"/>
    <cellWatch r="G10887"/>
    <cellWatch r="G10888"/>
    <cellWatch r="G10889"/>
    <cellWatch r="G10890"/>
    <cellWatch r="G10891"/>
    <cellWatch r="G10892"/>
    <cellWatch r="G10893"/>
    <cellWatch r="G10894"/>
    <cellWatch r="G10895"/>
    <cellWatch r="G10896"/>
    <cellWatch r="G10897"/>
    <cellWatch r="G10898"/>
    <cellWatch r="G10899"/>
    <cellWatch r="G10900"/>
    <cellWatch r="G10901"/>
    <cellWatch r="G10902"/>
    <cellWatch r="G10903"/>
    <cellWatch r="G10904"/>
    <cellWatch r="G10905"/>
    <cellWatch r="G10906"/>
    <cellWatch r="G10907"/>
    <cellWatch r="G10908"/>
    <cellWatch r="G10909"/>
    <cellWatch r="G10910"/>
    <cellWatch r="G10911"/>
    <cellWatch r="G10912"/>
    <cellWatch r="G10913"/>
    <cellWatch r="G10914"/>
    <cellWatch r="G10915"/>
    <cellWatch r="G10916"/>
    <cellWatch r="G10917"/>
    <cellWatch r="G10918"/>
    <cellWatch r="G10919"/>
    <cellWatch r="G10920"/>
    <cellWatch r="G10921"/>
    <cellWatch r="G10922"/>
    <cellWatch r="G10923"/>
    <cellWatch r="G10924"/>
    <cellWatch r="G10925"/>
    <cellWatch r="G10926"/>
    <cellWatch r="G10927"/>
    <cellWatch r="G10928"/>
    <cellWatch r="G10929"/>
    <cellWatch r="G10930"/>
    <cellWatch r="G10931"/>
    <cellWatch r="G10932"/>
    <cellWatch r="G10933"/>
    <cellWatch r="G10934"/>
    <cellWatch r="G10935"/>
    <cellWatch r="G10936"/>
    <cellWatch r="G10937"/>
    <cellWatch r="G10938"/>
    <cellWatch r="G10939"/>
    <cellWatch r="G10940"/>
    <cellWatch r="G10941"/>
    <cellWatch r="G10942"/>
    <cellWatch r="G10943"/>
    <cellWatch r="G10944"/>
    <cellWatch r="G10945"/>
    <cellWatch r="G10946"/>
    <cellWatch r="G10947"/>
    <cellWatch r="G10948"/>
    <cellWatch r="G10949"/>
    <cellWatch r="G10950"/>
    <cellWatch r="G10951"/>
    <cellWatch r="G10952"/>
    <cellWatch r="G10953"/>
    <cellWatch r="G10954"/>
    <cellWatch r="G10955"/>
    <cellWatch r="G10956"/>
    <cellWatch r="G10957"/>
    <cellWatch r="G10958"/>
    <cellWatch r="G10959"/>
    <cellWatch r="G10960"/>
    <cellWatch r="G10961"/>
    <cellWatch r="G10962"/>
    <cellWatch r="G10963"/>
    <cellWatch r="G10964"/>
    <cellWatch r="G10965"/>
    <cellWatch r="G10966"/>
    <cellWatch r="G10967"/>
    <cellWatch r="G10968"/>
    <cellWatch r="G10969"/>
    <cellWatch r="G10970"/>
    <cellWatch r="G10971"/>
    <cellWatch r="G10972"/>
    <cellWatch r="G10973"/>
    <cellWatch r="G10974"/>
    <cellWatch r="G10975"/>
    <cellWatch r="G10976"/>
    <cellWatch r="G10977"/>
    <cellWatch r="G10978"/>
    <cellWatch r="G10979"/>
    <cellWatch r="G10980"/>
    <cellWatch r="G10981"/>
    <cellWatch r="G10982"/>
    <cellWatch r="G10983"/>
    <cellWatch r="G10984"/>
    <cellWatch r="G10985"/>
    <cellWatch r="G10986"/>
    <cellWatch r="G10987"/>
    <cellWatch r="G10988"/>
    <cellWatch r="G10989"/>
    <cellWatch r="G10990"/>
    <cellWatch r="G10991"/>
    <cellWatch r="G10992"/>
    <cellWatch r="G10993"/>
    <cellWatch r="G10994"/>
    <cellWatch r="G10995"/>
    <cellWatch r="G10996"/>
    <cellWatch r="G10997"/>
    <cellWatch r="G10998"/>
    <cellWatch r="G10999"/>
    <cellWatch r="G11000"/>
    <cellWatch r="G11001"/>
    <cellWatch r="G11002"/>
    <cellWatch r="G11003"/>
    <cellWatch r="G11004"/>
    <cellWatch r="G11005"/>
    <cellWatch r="G11006"/>
    <cellWatch r="G11007"/>
    <cellWatch r="G11008"/>
    <cellWatch r="G11009"/>
    <cellWatch r="G11010"/>
    <cellWatch r="G11011"/>
    <cellWatch r="G11012"/>
    <cellWatch r="G11013"/>
    <cellWatch r="G11014"/>
    <cellWatch r="G11015"/>
    <cellWatch r="G11016"/>
    <cellWatch r="G11017"/>
    <cellWatch r="G11018"/>
    <cellWatch r="G11019"/>
    <cellWatch r="G11020"/>
    <cellWatch r="G11021"/>
    <cellWatch r="G11022"/>
    <cellWatch r="G11023"/>
    <cellWatch r="G11024"/>
    <cellWatch r="G11025"/>
    <cellWatch r="G11026"/>
    <cellWatch r="G11027"/>
    <cellWatch r="G11028"/>
    <cellWatch r="G11029"/>
    <cellWatch r="G11030"/>
    <cellWatch r="G11031"/>
    <cellWatch r="G11032"/>
    <cellWatch r="G11033"/>
    <cellWatch r="G11034"/>
    <cellWatch r="G11035"/>
    <cellWatch r="G11036"/>
    <cellWatch r="G11037"/>
    <cellWatch r="G11038"/>
    <cellWatch r="G11039"/>
    <cellWatch r="G11040"/>
    <cellWatch r="G11041"/>
    <cellWatch r="G11042"/>
    <cellWatch r="G11043"/>
    <cellWatch r="G11044"/>
    <cellWatch r="G11045"/>
    <cellWatch r="G11046"/>
    <cellWatch r="G11047"/>
    <cellWatch r="G11048"/>
    <cellWatch r="G11049"/>
    <cellWatch r="G11050"/>
    <cellWatch r="G11051"/>
    <cellWatch r="G11052"/>
    <cellWatch r="G11053"/>
    <cellWatch r="G11054"/>
    <cellWatch r="G11055"/>
    <cellWatch r="G11056"/>
    <cellWatch r="G11057"/>
    <cellWatch r="G11058"/>
    <cellWatch r="G11059"/>
    <cellWatch r="G11060"/>
    <cellWatch r="G11061"/>
    <cellWatch r="G11062"/>
    <cellWatch r="G11063"/>
    <cellWatch r="G11064"/>
    <cellWatch r="G11065"/>
    <cellWatch r="G11066"/>
    <cellWatch r="G11067"/>
    <cellWatch r="G11068"/>
    <cellWatch r="G11069"/>
    <cellWatch r="G11070"/>
    <cellWatch r="G11071"/>
    <cellWatch r="G11072"/>
    <cellWatch r="G11073"/>
    <cellWatch r="G11074"/>
    <cellWatch r="G11075"/>
    <cellWatch r="G11076"/>
    <cellWatch r="G11077"/>
    <cellWatch r="G11078"/>
    <cellWatch r="G11079"/>
    <cellWatch r="G11080"/>
    <cellWatch r="G11081"/>
    <cellWatch r="G11082"/>
    <cellWatch r="G11083"/>
    <cellWatch r="G11084"/>
    <cellWatch r="G11085"/>
    <cellWatch r="G11086"/>
    <cellWatch r="G11087"/>
    <cellWatch r="G11088"/>
    <cellWatch r="G11089"/>
    <cellWatch r="G11090"/>
    <cellWatch r="G11091"/>
    <cellWatch r="G11092"/>
    <cellWatch r="G11093"/>
    <cellWatch r="G11094"/>
    <cellWatch r="G11095"/>
    <cellWatch r="G11096"/>
    <cellWatch r="G11097"/>
    <cellWatch r="G11098"/>
    <cellWatch r="G11099"/>
    <cellWatch r="G11100"/>
    <cellWatch r="G11101"/>
    <cellWatch r="G11102"/>
    <cellWatch r="G11103"/>
    <cellWatch r="G11104"/>
    <cellWatch r="G11105"/>
    <cellWatch r="G11106"/>
    <cellWatch r="G11107"/>
    <cellWatch r="G11108"/>
    <cellWatch r="G11109"/>
    <cellWatch r="G11110"/>
    <cellWatch r="G11111"/>
    <cellWatch r="G11112"/>
    <cellWatch r="G11113"/>
    <cellWatch r="G11114"/>
    <cellWatch r="G11115"/>
    <cellWatch r="G11116"/>
    <cellWatch r="G11117"/>
    <cellWatch r="G11118"/>
    <cellWatch r="G11119"/>
    <cellWatch r="G11120"/>
    <cellWatch r="G11121"/>
    <cellWatch r="G11122"/>
    <cellWatch r="G11123"/>
    <cellWatch r="G11124"/>
    <cellWatch r="G11125"/>
    <cellWatch r="G11126"/>
    <cellWatch r="G11127"/>
    <cellWatch r="G11128"/>
    <cellWatch r="G11129"/>
    <cellWatch r="G11130"/>
    <cellWatch r="G11131"/>
    <cellWatch r="G11132"/>
    <cellWatch r="G11133"/>
    <cellWatch r="G11134"/>
    <cellWatch r="G11135"/>
    <cellWatch r="G11136"/>
    <cellWatch r="G11137"/>
    <cellWatch r="G11138"/>
    <cellWatch r="G11139"/>
    <cellWatch r="G11140"/>
    <cellWatch r="G11141"/>
    <cellWatch r="G11142"/>
    <cellWatch r="G11143"/>
    <cellWatch r="G11144"/>
    <cellWatch r="G11145"/>
    <cellWatch r="G11146"/>
    <cellWatch r="G11147"/>
    <cellWatch r="G11148"/>
    <cellWatch r="G11149"/>
    <cellWatch r="G11150"/>
    <cellWatch r="G11151"/>
    <cellWatch r="G11152"/>
    <cellWatch r="G11153"/>
    <cellWatch r="G11154"/>
    <cellWatch r="G11155"/>
    <cellWatch r="G11156"/>
    <cellWatch r="G11157"/>
    <cellWatch r="G11158"/>
    <cellWatch r="G11159"/>
    <cellWatch r="G11160"/>
    <cellWatch r="G11161"/>
    <cellWatch r="G11162"/>
    <cellWatch r="G11163"/>
    <cellWatch r="G11164"/>
    <cellWatch r="G11165"/>
    <cellWatch r="G11166"/>
    <cellWatch r="G11167"/>
    <cellWatch r="G11168"/>
    <cellWatch r="G11169"/>
    <cellWatch r="G11170"/>
    <cellWatch r="G11171"/>
    <cellWatch r="G11172"/>
    <cellWatch r="G11173"/>
    <cellWatch r="G11174"/>
    <cellWatch r="G11175"/>
    <cellWatch r="G11176"/>
    <cellWatch r="G11177"/>
    <cellWatch r="G11178"/>
    <cellWatch r="G11179"/>
    <cellWatch r="G11180"/>
    <cellWatch r="G11181"/>
    <cellWatch r="G11182"/>
    <cellWatch r="G11183"/>
    <cellWatch r="G11184"/>
    <cellWatch r="G11185"/>
    <cellWatch r="G11186"/>
    <cellWatch r="G11187"/>
    <cellWatch r="G11188"/>
    <cellWatch r="G11189"/>
    <cellWatch r="G11190"/>
    <cellWatch r="G11191"/>
    <cellWatch r="G11192"/>
    <cellWatch r="G11193"/>
    <cellWatch r="G11194"/>
    <cellWatch r="G11195"/>
    <cellWatch r="G11196"/>
    <cellWatch r="G11197"/>
    <cellWatch r="G11198"/>
    <cellWatch r="G11199"/>
    <cellWatch r="G11200"/>
    <cellWatch r="G11201"/>
    <cellWatch r="G11202"/>
    <cellWatch r="G11203"/>
    <cellWatch r="G11204"/>
    <cellWatch r="G11205"/>
    <cellWatch r="G11206"/>
    <cellWatch r="G11207"/>
    <cellWatch r="G11208"/>
    <cellWatch r="G11209"/>
    <cellWatch r="G11210"/>
    <cellWatch r="G11211"/>
    <cellWatch r="G11212"/>
    <cellWatch r="G11213"/>
    <cellWatch r="G11214"/>
    <cellWatch r="G11215"/>
    <cellWatch r="G11216"/>
    <cellWatch r="G11217"/>
    <cellWatch r="G11218"/>
    <cellWatch r="G11219"/>
    <cellWatch r="G11220"/>
    <cellWatch r="G11221"/>
    <cellWatch r="G11222"/>
    <cellWatch r="G11223"/>
    <cellWatch r="G11224"/>
    <cellWatch r="G11225"/>
    <cellWatch r="G11226"/>
    <cellWatch r="G11227"/>
    <cellWatch r="G11228"/>
    <cellWatch r="G11229"/>
    <cellWatch r="G11230"/>
    <cellWatch r="G11231"/>
    <cellWatch r="G11232"/>
    <cellWatch r="G11233"/>
    <cellWatch r="G11234"/>
    <cellWatch r="G11235"/>
    <cellWatch r="G11236"/>
    <cellWatch r="G11237"/>
    <cellWatch r="G11238"/>
    <cellWatch r="G11239"/>
    <cellWatch r="G11240"/>
    <cellWatch r="G11241"/>
    <cellWatch r="G11242"/>
    <cellWatch r="G11243"/>
    <cellWatch r="G11244"/>
    <cellWatch r="G11245"/>
    <cellWatch r="G11246"/>
    <cellWatch r="G11247"/>
    <cellWatch r="G11248"/>
    <cellWatch r="G11249"/>
    <cellWatch r="G11250"/>
    <cellWatch r="G11251"/>
    <cellWatch r="G11252"/>
    <cellWatch r="G11253"/>
    <cellWatch r="G11254"/>
    <cellWatch r="G11255"/>
    <cellWatch r="G11256"/>
    <cellWatch r="G11257"/>
    <cellWatch r="G11258"/>
    <cellWatch r="G11259"/>
    <cellWatch r="G11260"/>
    <cellWatch r="G11261"/>
    <cellWatch r="G11262"/>
    <cellWatch r="G11263"/>
    <cellWatch r="G11264"/>
    <cellWatch r="G11265"/>
    <cellWatch r="G11266"/>
    <cellWatch r="G11267"/>
    <cellWatch r="G11268"/>
    <cellWatch r="G11269"/>
    <cellWatch r="G11270"/>
    <cellWatch r="G11271"/>
    <cellWatch r="G11272"/>
    <cellWatch r="G11273"/>
    <cellWatch r="G11274"/>
    <cellWatch r="G11275"/>
    <cellWatch r="G11276"/>
    <cellWatch r="G11277"/>
    <cellWatch r="G11278"/>
    <cellWatch r="G11279"/>
    <cellWatch r="G11280"/>
    <cellWatch r="G11281"/>
    <cellWatch r="G11282"/>
    <cellWatch r="G11283"/>
    <cellWatch r="G11284"/>
    <cellWatch r="G11285"/>
    <cellWatch r="G11286"/>
    <cellWatch r="G11287"/>
    <cellWatch r="G11288"/>
    <cellWatch r="G11289"/>
    <cellWatch r="G11290"/>
    <cellWatch r="G11291"/>
    <cellWatch r="G11292"/>
    <cellWatch r="G11293"/>
    <cellWatch r="G11294"/>
    <cellWatch r="G11295"/>
    <cellWatch r="G11296"/>
    <cellWatch r="G11297"/>
    <cellWatch r="G11298"/>
    <cellWatch r="G11299"/>
    <cellWatch r="G11300"/>
    <cellWatch r="G11301"/>
    <cellWatch r="G11302"/>
    <cellWatch r="G11303"/>
    <cellWatch r="G11304"/>
    <cellWatch r="G11305"/>
    <cellWatch r="G11306"/>
    <cellWatch r="G11307"/>
    <cellWatch r="G11308"/>
    <cellWatch r="G11309"/>
    <cellWatch r="G11310"/>
    <cellWatch r="G11311"/>
    <cellWatch r="G11312"/>
    <cellWatch r="G11313"/>
    <cellWatch r="G11314"/>
    <cellWatch r="G11315"/>
    <cellWatch r="G11316"/>
    <cellWatch r="G11317"/>
    <cellWatch r="G11318"/>
    <cellWatch r="G11319"/>
    <cellWatch r="G11320"/>
    <cellWatch r="G11321"/>
    <cellWatch r="G11322"/>
    <cellWatch r="G11323"/>
    <cellWatch r="G11324"/>
    <cellWatch r="G11325"/>
    <cellWatch r="G11326"/>
    <cellWatch r="G11327"/>
    <cellWatch r="G11328"/>
    <cellWatch r="G11329"/>
    <cellWatch r="G11330"/>
    <cellWatch r="G11331"/>
    <cellWatch r="G11332"/>
    <cellWatch r="G11333"/>
    <cellWatch r="G11334"/>
    <cellWatch r="G11335"/>
    <cellWatch r="G11336"/>
    <cellWatch r="G11337"/>
    <cellWatch r="G11338"/>
    <cellWatch r="G11339"/>
    <cellWatch r="G11340"/>
    <cellWatch r="G11341"/>
    <cellWatch r="G11342"/>
    <cellWatch r="G11343"/>
    <cellWatch r="G11344"/>
    <cellWatch r="G11345"/>
    <cellWatch r="G11346"/>
    <cellWatch r="G11347"/>
    <cellWatch r="G11348"/>
    <cellWatch r="G11349"/>
    <cellWatch r="G11350"/>
    <cellWatch r="G11351"/>
    <cellWatch r="G11352"/>
    <cellWatch r="G11353"/>
    <cellWatch r="G11354"/>
    <cellWatch r="G11355"/>
    <cellWatch r="G11356"/>
    <cellWatch r="G11357"/>
    <cellWatch r="G11358"/>
    <cellWatch r="G11359"/>
    <cellWatch r="G11360"/>
    <cellWatch r="G11361"/>
    <cellWatch r="G11362"/>
    <cellWatch r="G11363"/>
    <cellWatch r="G11364"/>
    <cellWatch r="G11365"/>
    <cellWatch r="G11366"/>
    <cellWatch r="G11367"/>
    <cellWatch r="G11368"/>
    <cellWatch r="G11369"/>
    <cellWatch r="G11370"/>
    <cellWatch r="G11371"/>
    <cellWatch r="G11372"/>
    <cellWatch r="G11373"/>
    <cellWatch r="G11374"/>
    <cellWatch r="G11375"/>
    <cellWatch r="G11376"/>
    <cellWatch r="G11377"/>
    <cellWatch r="G11378"/>
    <cellWatch r="G11379"/>
    <cellWatch r="G11380"/>
    <cellWatch r="G11381"/>
    <cellWatch r="G11382"/>
    <cellWatch r="G11383"/>
    <cellWatch r="G11384"/>
    <cellWatch r="G11385"/>
    <cellWatch r="G11386"/>
    <cellWatch r="G11387"/>
    <cellWatch r="G11388"/>
    <cellWatch r="G11389"/>
    <cellWatch r="G11390"/>
    <cellWatch r="G11391"/>
    <cellWatch r="G11392"/>
    <cellWatch r="G11393"/>
    <cellWatch r="G11394"/>
    <cellWatch r="G11395"/>
    <cellWatch r="G11396"/>
    <cellWatch r="G11397"/>
    <cellWatch r="G11398"/>
    <cellWatch r="G11399"/>
    <cellWatch r="G11400"/>
    <cellWatch r="G11401"/>
    <cellWatch r="G11402"/>
    <cellWatch r="G11403"/>
    <cellWatch r="G11404"/>
    <cellWatch r="G11405"/>
    <cellWatch r="G11406"/>
    <cellWatch r="G11407"/>
    <cellWatch r="G11408"/>
    <cellWatch r="G11409"/>
    <cellWatch r="G11410"/>
    <cellWatch r="G11411"/>
    <cellWatch r="G11412"/>
    <cellWatch r="G11413"/>
    <cellWatch r="G11414"/>
    <cellWatch r="G11415"/>
    <cellWatch r="G11416"/>
    <cellWatch r="G11417"/>
    <cellWatch r="G11418"/>
    <cellWatch r="G11419"/>
    <cellWatch r="G11420"/>
    <cellWatch r="G11421"/>
    <cellWatch r="G11422"/>
    <cellWatch r="G11423"/>
    <cellWatch r="G11424"/>
    <cellWatch r="G11425"/>
    <cellWatch r="G11426"/>
    <cellWatch r="G11427"/>
    <cellWatch r="G11428"/>
    <cellWatch r="G11429"/>
    <cellWatch r="G11430"/>
    <cellWatch r="G11431"/>
    <cellWatch r="G11432"/>
    <cellWatch r="G11433"/>
    <cellWatch r="G11434"/>
    <cellWatch r="G11435"/>
    <cellWatch r="G11436"/>
    <cellWatch r="G11437"/>
    <cellWatch r="G11438"/>
    <cellWatch r="G11439"/>
    <cellWatch r="G11440"/>
    <cellWatch r="G11441"/>
    <cellWatch r="G11442"/>
    <cellWatch r="G11443"/>
    <cellWatch r="G11444"/>
    <cellWatch r="G11445"/>
    <cellWatch r="G11446"/>
    <cellWatch r="G11447"/>
    <cellWatch r="G11448"/>
    <cellWatch r="G11449"/>
    <cellWatch r="G11450"/>
    <cellWatch r="G11451"/>
    <cellWatch r="G11452"/>
    <cellWatch r="G11453"/>
    <cellWatch r="G11454"/>
    <cellWatch r="G11455"/>
    <cellWatch r="G11456"/>
    <cellWatch r="G11457"/>
    <cellWatch r="G11458"/>
    <cellWatch r="G11459"/>
    <cellWatch r="G11460"/>
    <cellWatch r="G11461"/>
    <cellWatch r="G11462"/>
    <cellWatch r="G11463"/>
    <cellWatch r="G11464"/>
    <cellWatch r="G11465"/>
    <cellWatch r="G11466"/>
    <cellWatch r="G11467"/>
    <cellWatch r="G11468"/>
    <cellWatch r="G11469"/>
    <cellWatch r="G11470"/>
    <cellWatch r="G11471"/>
    <cellWatch r="G11472"/>
    <cellWatch r="G11473"/>
    <cellWatch r="G11474"/>
    <cellWatch r="G11475"/>
    <cellWatch r="G11476"/>
    <cellWatch r="G11477"/>
    <cellWatch r="G11478"/>
    <cellWatch r="G11479"/>
    <cellWatch r="G11480"/>
    <cellWatch r="G11481"/>
    <cellWatch r="G11482"/>
    <cellWatch r="G11483"/>
    <cellWatch r="G11484"/>
    <cellWatch r="G11485"/>
    <cellWatch r="G11486"/>
    <cellWatch r="G11487"/>
    <cellWatch r="G11488"/>
    <cellWatch r="G11489"/>
    <cellWatch r="G11490"/>
    <cellWatch r="G11491"/>
    <cellWatch r="G11492"/>
    <cellWatch r="G11493"/>
    <cellWatch r="G11494"/>
    <cellWatch r="G11495"/>
    <cellWatch r="G11496"/>
    <cellWatch r="G11497"/>
    <cellWatch r="G11498"/>
    <cellWatch r="G11499"/>
    <cellWatch r="G11500"/>
    <cellWatch r="G11501"/>
    <cellWatch r="G11502"/>
    <cellWatch r="G11503"/>
    <cellWatch r="G11504"/>
    <cellWatch r="G11505"/>
    <cellWatch r="G11506"/>
    <cellWatch r="G11507"/>
    <cellWatch r="G11508"/>
    <cellWatch r="G11509"/>
    <cellWatch r="G11510"/>
    <cellWatch r="G11511"/>
    <cellWatch r="G11512"/>
    <cellWatch r="G11513"/>
    <cellWatch r="G11514"/>
    <cellWatch r="G11515"/>
    <cellWatch r="G11516"/>
    <cellWatch r="G11517"/>
    <cellWatch r="G11518"/>
    <cellWatch r="G11519"/>
    <cellWatch r="G11520"/>
    <cellWatch r="G11521"/>
    <cellWatch r="G11522"/>
    <cellWatch r="G11523"/>
    <cellWatch r="G11524"/>
    <cellWatch r="G11525"/>
    <cellWatch r="G11526"/>
    <cellWatch r="G11527"/>
    <cellWatch r="G11528"/>
    <cellWatch r="G11529"/>
    <cellWatch r="G11530"/>
    <cellWatch r="G11531"/>
    <cellWatch r="G11532"/>
    <cellWatch r="G11533"/>
    <cellWatch r="G11534"/>
    <cellWatch r="G11535"/>
    <cellWatch r="G11536"/>
    <cellWatch r="G11537"/>
    <cellWatch r="G11538"/>
    <cellWatch r="G11539"/>
    <cellWatch r="G11540"/>
    <cellWatch r="G11541"/>
    <cellWatch r="G11542"/>
    <cellWatch r="G11543"/>
    <cellWatch r="G11544"/>
    <cellWatch r="G11545"/>
    <cellWatch r="G11546"/>
    <cellWatch r="G11547"/>
    <cellWatch r="G11548"/>
    <cellWatch r="G11549"/>
    <cellWatch r="G11550"/>
    <cellWatch r="G11551"/>
    <cellWatch r="G11552"/>
    <cellWatch r="G11553"/>
    <cellWatch r="G11554"/>
    <cellWatch r="G11555"/>
    <cellWatch r="G11556"/>
    <cellWatch r="G11557"/>
    <cellWatch r="G11558"/>
    <cellWatch r="G11559"/>
    <cellWatch r="G11560"/>
    <cellWatch r="G11561"/>
    <cellWatch r="G11562"/>
    <cellWatch r="G11563"/>
    <cellWatch r="G11564"/>
    <cellWatch r="G11565"/>
    <cellWatch r="G11566"/>
    <cellWatch r="G11567"/>
    <cellWatch r="G11568"/>
    <cellWatch r="G11569"/>
    <cellWatch r="G11570"/>
    <cellWatch r="G11571"/>
    <cellWatch r="G11572"/>
    <cellWatch r="G11573"/>
    <cellWatch r="G11574"/>
    <cellWatch r="G11575"/>
    <cellWatch r="G11576"/>
    <cellWatch r="G11577"/>
    <cellWatch r="G11578"/>
    <cellWatch r="G11579"/>
    <cellWatch r="G11580"/>
    <cellWatch r="G11581"/>
    <cellWatch r="G11582"/>
    <cellWatch r="G11583"/>
    <cellWatch r="G11584"/>
    <cellWatch r="G11585"/>
    <cellWatch r="G11586"/>
    <cellWatch r="G11587"/>
    <cellWatch r="G11588"/>
    <cellWatch r="G11589"/>
    <cellWatch r="G11590"/>
    <cellWatch r="G11591"/>
    <cellWatch r="G11592"/>
    <cellWatch r="G11593"/>
    <cellWatch r="G11594"/>
    <cellWatch r="G11595"/>
    <cellWatch r="G11596"/>
    <cellWatch r="G11597"/>
    <cellWatch r="G11598"/>
    <cellWatch r="G11599"/>
    <cellWatch r="G11600"/>
    <cellWatch r="G11601"/>
    <cellWatch r="G11602"/>
    <cellWatch r="G11603"/>
    <cellWatch r="G11604"/>
    <cellWatch r="G11605"/>
    <cellWatch r="G11606"/>
    <cellWatch r="G11607"/>
    <cellWatch r="G11608"/>
    <cellWatch r="G11609"/>
    <cellWatch r="G11610"/>
    <cellWatch r="G11611"/>
    <cellWatch r="G11612"/>
    <cellWatch r="G11613"/>
    <cellWatch r="G11614"/>
    <cellWatch r="G11615"/>
    <cellWatch r="G11616"/>
    <cellWatch r="G11617"/>
    <cellWatch r="G11618"/>
    <cellWatch r="G11619"/>
    <cellWatch r="G11620"/>
    <cellWatch r="G11621"/>
    <cellWatch r="G11622"/>
    <cellWatch r="G11623"/>
    <cellWatch r="G11624"/>
    <cellWatch r="G11625"/>
    <cellWatch r="G11626"/>
    <cellWatch r="G11627"/>
    <cellWatch r="G11628"/>
    <cellWatch r="G11629"/>
    <cellWatch r="G11630"/>
    <cellWatch r="G11631"/>
    <cellWatch r="G11632"/>
    <cellWatch r="G11633"/>
    <cellWatch r="G11634"/>
    <cellWatch r="G11635"/>
    <cellWatch r="G11636"/>
    <cellWatch r="G11637"/>
    <cellWatch r="G11638"/>
    <cellWatch r="G11639"/>
    <cellWatch r="G11640"/>
    <cellWatch r="G11641"/>
    <cellWatch r="G11642"/>
    <cellWatch r="G11643"/>
    <cellWatch r="G11644"/>
    <cellWatch r="G11645"/>
    <cellWatch r="G11646"/>
    <cellWatch r="G11647"/>
    <cellWatch r="G11648"/>
    <cellWatch r="G11649"/>
    <cellWatch r="G11650"/>
    <cellWatch r="G11651"/>
    <cellWatch r="G11652"/>
    <cellWatch r="G11653"/>
    <cellWatch r="G11654"/>
    <cellWatch r="G11655"/>
    <cellWatch r="G11656"/>
    <cellWatch r="G11657"/>
    <cellWatch r="G11658"/>
    <cellWatch r="G11659"/>
    <cellWatch r="G11660"/>
    <cellWatch r="G11661"/>
    <cellWatch r="G11662"/>
    <cellWatch r="G11663"/>
    <cellWatch r="G11664"/>
    <cellWatch r="G11665"/>
    <cellWatch r="G11666"/>
    <cellWatch r="G11667"/>
    <cellWatch r="G11668"/>
    <cellWatch r="G11669"/>
    <cellWatch r="G11670"/>
    <cellWatch r="G11671"/>
    <cellWatch r="G11672"/>
    <cellWatch r="G11673"/>
    <cellWatch r="G11674"/>
    <cellWatch r="G11675"/>
    <cellWatch r="G11676"/>
    <cellWatch r="G11677"/>
    <cellWatch r="G11678"/>
    <cellWatch r="G11679"/>
    <cellWatch r="G11680"/>
    <cellWatch r="G11681"/>
    <cellWatch r="G11682"/>
    <cellWatch r="G11683"/>
    <cellWatch r="G11684"/>
    <cellWatch r="G11685"/>
    <cellWatch r="G11686"/>
    <cellWatch r="G11687"/>
    <cellWatch r="G11688"/>
    <cellWatch r="G11689"/>
    <cellWatch r="G11690"/>
    <cellWatch r="G11691"/>
    <cellWatch r="G11692"/>
    <cellWatch r="G11693"/>
    <cellWatch r="G11694"/>
    <cellWatch r="G11695"/>
    <cellWatch r="G11696"/>
    <cellWatch r="G11697"/>
    <cellWatch r="G11698"/>
    <cellWatch r="G11699"/>
    <cellWatch r="G11700"/>
    <cellWatch r="G11701"/>
    <cellWatch r="G11702"/>
    <cellWatch r="G11703"/>
    <cellWatch r="G11704"/>
    <cellWatch r="G11705"/>
    <cellWatch r="G11706"/>
    <cellWatch r="G11707"/>
    <cellWatch r="G11708"/>
    <cellWatch r="G11709"/>
    <cellWatch r="G11710"/>
    <cellWatch r="G11711"/>
    <cellWatch r="G11712"/>
    <cellWatch r="G11713"/>
    <cellWatch r="G11714"/>
    <cellWatch r="G11715"/>
    <cellWatch r="G11716"/>
    <cellWatch r="G11717"/>
    <cellWatch r="G11718"/>
    <cellWatch r="G11719"/>
    <cellWatch r="G11720"/>
    <cellWatch r="G11721"/>
    <cellWatch r="G11722"/>
    <cellWatch r="G11723"/>
    <cellWatch r="G11724"/>
    <cellWatch r="G11725"/>
    <cellWatch r="G11726"/>
    <cellWatch r="G11727"/>
    <cellWatch r="G11728"/>
    <cellWatch r="G11729"/>
    <cellWatch r="G11730"/>
    <cellWatch r="G11731"/>
    <cellWatch r="G11732"/>
    <cellWatch r="G11733"/>
    <cellWatch r="G11734"/>
    <cellWatch r="G11735"/>
    <cellWatch r="G11736"/>
    <cellWatch r="G11737"/>
    <cellWatch r="G11738"/>
    <cellWatch r="G11739"/>
    <cellWatch r="G11740"/>
    <cellWatch r="G11741"/>
    <cellWatch r="G11742"/>
    <cellWatch r="G11743"/>
    <cellWatch r="G11744"/>
    <cellWatch r="G11745"/>
    <cellWatch r="G11746"/>
    <cellWatch r="G11747"/>
    <cellWatch r="G11748"/>
    <cellWatch r="G11749"/>
    <cellWatch r="G11750"/>
    <cellWatch r="G11751"/>
    <cellWatch r="G11752"/>
    <cellWatch r="G11753"/>
    <cellWatch r="G11754"/>
    <cellWatch r="G11755"/>
    <cellWatch r="G11756"/>
    <cellWatch r="G11757"/>
    <cellWatch r="G11758"/>
    <cellWatch r="G11759"/>
    <cellWatch r="G11760"/>
    <cellWatch r="G11761"/>
    <cellWatch r="G11762"/>
    <cellWatch r="G11763"/>
    <cellWatch r="G11764"/>
    <cellWatch r="G11765"/>
    <cellWatch r="G11766"/>
    <cellWatch r="G11767"/>
    <cellWatch r="G11768"/>
    <cellWatch r="G11769"/>
    <cellWatch r="G11770"/>
    <cellWatch r="G11771"/>
    <cellWatch r="G11772"/>
    <cellWatch r="G11773"/>
    <cellWatch r="G11774"/>
    <cellWatch r="G11775"/>
    <cellWatch r="G11776"/>
    <cellWatch r="G11777"/>
    <cellWatch r="G11778"/>
    <cellWatch r="G11779"/>
    <cellWatch r="G11780"/>
    <cellWatch r="G11781"/>
    <cellWatch r="G11782"/>
    <cellWatch r="G11783"/>
    <cellWatch r="G11784"/>
    <cellWatch r="G11785"/>
    <cellWatch r="G11786"/>
    <cellWatch r="G11787"/>
    <cellWatch r="G11788"/>
    <cellWatch r="G11789"/>
    <cellWatch r="G11790"/>
    <cellWatch r="G11791"/>
    <cellWatch r="G11792"/>
    <cellWatch r="G11793"/>
    <cellWatch r="G11794"/>
    <cellWatch r="G11795"/>
    <cellWatch r="G11796"/>
    <cellWatch r="G11797"/>
    <cellWatch r="G11798"/>
    <cellWatch r="G11799"/>
    <cellWatch r="G11800"/>
    <cellWatch r="G11801"/>
    <cellWatch r="G11802"/>
    <cellWatch r="G11803"/>
    <cellWatch r="G11804"/>
    <cellWatch r="G11805"/>
    <cellWatch r="G11806"/>
    <cellWatch r="G11807"/>
    <cellWatch r="G11808"/>
    <cellWatch r="G11809"/>
    <cellWatch r="G11810"/>
    <cellWatch r="G11811"/>
    <cellWatch r="G11812"/>
    <cellWatch r="G11813"/>
    <cellWatch r="G11814"/>
    <cellWatch r="G11815"/>
    <cellWatch r="G11816"/>
    <cellWatch r="G11817"/>
    <cellWatch r="G11818"/>
    <cellWatch r="G11819"/>
    <cellWatch r="G11820"/>
    <cellWatch r="G11821"/>
    <cellWatch r="G11822"/>
    <cellWatch r="G11823"/>
    <cellWatch r="G11824"/>
    <cellWatch r="G11825"/>
    <cellWatch r="G11826"/>
    <cellWatch r="G11827"/>
    <cellWatch r="G11828"/>
    <cellWatch r="G11829"/>
    <cellWatch r="G11830"/>
    <cellWatch r="G11831"/>
    <cellWatch r="G11832"/>
    <cellWatch r="G11833"/>
    <cellWatch r="G11834"/>
    <cellWatch r="G11835"/>
    <cellWatch r="G11836"/>
    <cellWatch r="G11837"/>
    <cellWatch r="G11838"/>
    <cellWatch r="G11839"/>
    <cellWatch r="G11840"/>
    <cellWatch r="G11841"/>
    <cellWatch r="G11842"/>
    <cellWatch r="G11843"/>
    <cellWatch r="G11844"/>
    <cellWatch r="G11845"/>
    <cellWatch r="G11846"/>
    <cellWatch r="G11847"/>
    <cellWatch r="G11848"/>
    <cellWatch r="G11849"/>
    <cellWatch r="G11850"/>
    <cellWatch r="G11851"/>
    <cellWatch r="G11852"/>
    <cellWatch r="G11853"/>
    <cellWatch r="G11854"/>
    <cellWatch r="G11855"/>
    <cellWatch r="G11856"/>
    <cellWatch r="G11857"/>
    <cellWatch r="G11858"/>
    <cellWatch r="G11859"/>
    <cellWatch r="G11860"/>
    <cellWatch r="G11861"/>
    <cellWatch r="G11862"/>
    <cellWatch r="G11863"/>
    <cellWatch r="G11864"/>
    <cellWatch r="G11865"/>
    <cellWatch r="G11866"/>
    <cellWatch r="G11867"/>
    <cellWatch r="G11868"/>
    <cellWatch r="G11869"/>
    <cellWatch r="G11870"/>
    <cellWatch r="G11871"/>
    <cellWatch r="G11872"/>
    <cellWatch r="G11873"/>
    <cellWatch r="G11874"/>
    <cellWatch r="G11875"/>
    <cellWatch r="G11876"/>
    <cellWatch r="G11877"/>
    <cellWatch r="G11878"/>
    <cellWatch r="G11879"/>
    <cellWatch r="G11880"/>
    <cellWatch r="G11881"/>
    <cellWatch r="G11882"/>
    <cellWatch r="G11883"/>
    <cellWatch r="G11884"/>
    <cellWatch r="G11885"/>
    <cellWatch r="G11886"/>
    <cellWatch r="G11887"/>
    <cellWatch r="G11888"/>
    <cellWatch r="G11889"/>
    <cellWatch r="G11890"/>
    <cellWatch r="G11891"/>
    <cellWatch r="G11892"/>
    <cellWatch r="G11893"/>
    <cellWatch r="G11894"/>
    <cellWatch r="G11895"/>
    <cellWatch r="G11896"/>
    <cellWatch r="G11897"/>
    <cellWatch r="G11898"/>
    <cellWatch r="G11899"/>
    <cellWatch r="G11900"/>
    <cellWatch r="G11901"/>
    <cellWatch r="G11902"/>
    <cellWatch r="G11903"/>
    <cellWatch r="G11904"/>
    <cellWatch r="G11905"/>
    <cellWatch r="G11906"/>
    <cellWatch r="G11907"/>
    <cellWatch r="G11908"/>
    <cellWatch r="G11909"/>
    <cellWatch r="G11910"/>
    <cellWatch r="G11911"/>
    <cellWatch r="G11912"/>
    <cellWatch r="G11913"/>
    <cellWatch r="G11914"/>
    <cellWatch r="G11915"/>
    <cellWatch r="G11916"/>
    <cellWatch r="G11917"/>
    <cellWatch r="G11918"/>
    <cellWatch r="G11919"/>
    <cellWatch r="G11920"/>
    <cellWatch r="G11921"/>
    <cellWatch r="G11922"/>
    <cellWatch r="G11923"/>
    <cellWatch r="G11924"/>
    <cellWatch r="G11925"/>
    <cellWatch r="G11926"/>
    <cellWatch r="G11927"/>
    <cellWatch r="G11928"/>
    <cellWatch r="G11929"/>
    <cellWatch r="G11930"/>
    <cellWatch r="G11931"/>
    <cellWatch r="G11932"/>
    <cellWatch r="G11933"/>
    <cellWatch r="G11934"/>
    <cellWatch r="G11935"/>
    <cellWatch r="G11936"/>
    <cellWatch r="G11937"/>
    <cellWatch r="G11938"/>
    <cellWatch r="G11939"/>
    <cellWatch r="G11940"/>
    <cellWatch r="G11941"/>
    <cellWatch r="G11942"/>
    <cellWatch r="G11943"/>
    <cellWatch r="G11944"/>
    <cellWatch r="G11945"/>
    <cellWatch r="G11946"/>
    <cellWatch r="G11947"/>
    <cellWatch r="G11948"/>
    <cellWatch r="G11949"/>
    <cellWatch r="G11950"/>
    <cellWatch r="G11951"/>
    <cellWatch r="G11952"/>
    <cellWatch r="G11953"/>
    <cellWatch r="G11954"/>
    <cellWatch r="G11955"/>
    <cellWatch r="G11956"/>
    <cellWatch r="G11957"/>
    <cellWatch r="G11958"/>
    <cellWatch r="G11959"/>
    <cellWatch r="G11960"/>
    <cellWatch r="G11961"/>
    <cellWatch r="G11962"/>
    <cellWatch r="G11963"/>
    <cellWatch r="G11964"/>
    <cellWatch r="G11965"/>
    <cellWatch r="G11966"/>
    <cellWatch r="G11967"/>
    <cellWatch r="G11968"/>
    <cellWatch r="G11969"/>
    <cellWatch r="G11970"/>
    <cellWatch r="G11971"/>
    <cellWatch r="G11972"/>
    <cellWatch r="G11973"/>
    <cellWatch r="G11974"/>
    <cellWatch r="G11975"/>
    <cellWatch r="G11976"/>
    <cellWatch r="G11977"/>
    <cellWatch r="G11978"/>
    <cellWatch r="G11979"/>
    <cellWatch r="G11980"/>
    <cellWatch r="G11981"/>
    <cellWatch r="G11982"/>
    <cellWatch r="G11983"/>
    <cellWatch r="G11984"/>
    <cellWatch r="G11985"/>
    <cellWatch r="G11986"/>
    <cellWatch r="G11987"/>
    <cellWatch r="G11988"/>
    <cellWatch r="G11989"/>
    <cellWatch r="G11990"/>
    <cellWatch r="G11991"/>
    <cellWatch r="G11992"/>
    <cellWatch r="G11993"/>
    <cellWatch r="G11994"/>
    <cellWatch r="G11995"/>
    <cellWatch r="G11996"/>
    <cellWatch r="G11997"/>
    <cellWatch r="G11998"/>
    <cellWatch r="G11999"/>
    <cellWatch r="G12000"/>
    <cellWatch r="G12001"/>
    <cellWatch r="G12002"/>
    <cellWatch r="G12003"/>
    <cellWatch r="G12004"/>
    <cellWatch r="G12005"/>
    <cellWatch r="G12006"/>
    <cellWatch r="G12007"/>
    <cellWatch r="G12008"/>
    <cellWatch r="G12009"/>
    <cellWatch r="G12010"/>
    <cellWatch r="G12011"/>
    <cellWatch r="G12012"/>
    <cellWatch r="G12013"/>
    <cellWatch r="G12014"/>
    <cellWatch r="G12015"/>
    <cellWatch r="G12016"/>
    <cellWatch r="G12017"/>
    <cellWatch r="G12018"/>
    <cellWatch r="G12019"/>
    <cellWatch r="G12020"/>
    <cellWatch r="G12021"/>
    <cellWatch r="G12022"/>
    <cellWatch r="G12023"/>
    <cellWatch r="G12024"/>
    <cellWatch r="G12025"/>
    <cellWatch r="G12026"/>
    <cellWatch r="G12027"/>
    <cellWatch r="G12028"/>
    <cellWatch r="G12029"/>
    <cellWatch r="G12030"/>
    <cellWatch r="G12031"/>
    <cellWatch r="G12032"/>
    <cellWatch r="G12033"/>
    <cellWatch r="G12034"/>
    <cellWatch r="G12035"/>
    <cellWatch r="G12036"/>
    <cellWatch r="G12037"/>
    <cellWatch r="G12038"/>
    <cellWatch r="G12039"/>
    <cellWatch r="G12040"/>
    <cellWatch r="G12041"/>
    <cellWatch r="G12042"/>
    <cellWatch r="G12043"/>
    <cellWatch r="G12044"/>
    <cellWatch r="G12045"/>
    <cellWatch r="G12046"/>
    <cellWatch r="G12047"/>
    <cellWatch r="G12048"/>
    <cellWatch r="G12049"/>
    <cellWatch r="G12050"/>
    <cellWatch r="G12051"/>
    <cellWatch r="G12052"/>
    <cellWatch r="G12053"/>
    <cellWatch r="G12054"/>
    <cellWatch r="G12055"/>
    <cellWatch r="G12056"/>
    <cellWatch r="G12057"/>
    <cellWatch r="G12058"/>
    <cellWatch r="G12059"/>
    <cellWatch r="G12060"/>
    <cellWatch r="G12061"/>
    <cellWatch r="G12062"/>
    <cellWatch r="G12063"/>
    <cellWatch r="G12064"/>
    <cellWatch r="G12065"/>
    <cellWatch r="G12066"/>
    <cellWatch r="G12067"/>
    <cellWatch r="G12068"/>
    <cellWatch r="G12069"/>
    <cellWatch r="G12070"/>
    <cellWatch r="G12071"/>
    <cellWatch r="G12072"/>
    <cellWatch r="G12073"/>
    <cellWatch r="G12074"/>
    <cellWatch r="G12075"/>
    <cellWatch r="G12076"/>
    <cellWatch r="G12077"/>
    <cellWatch r="G12078"/>
    <cellWatch r="G12079"/>
    <cellWatch r="G12080"/>
    <cellWatch r="G12081"/>
    <cellWatch r="G12082"/>
    <cellWatch r="G12083"/>
    <cellWatch r="G12084"/>
    <cellWatch r="G12085"/>
    <cellWatch r="G12086"/>
    <cellWatch r="G12087"/>
    <cellWatch r="G12088"/>
    <cellWatch r="G12089"/>
    <cellWatch r="G12090"/>
    <cellWatch r="G12091"/>
    <cellWatch r="G12092"/>
    <cellWatch r="G12093"/>
    <cellWatch r="G12094"/>
    <cellWatch r="G12095"/>
    <cellWatch r="G12096"/>
    <cellWatch r="G12097"/>
    <cellWatch r="G12098"/>
    <cellWatch r="G12099"/>
    <cellWatch r="G12100"/>
    <cellWatch r="G12101"/>
    <cellWatch r="G12102"/>
    <cellWatch r="G12103"/>
    <cellWatch r="G12104"/>
    <cellWatch r="G12105"/>
    <cellWatch r="G12106"/>
    <cellWatch r="G12107"/>
    <cellWatch r="G12108"/>
    <cellWatch r="G12109"/>
    <cellWatch r="G12110"/>
    <cellWatch r="G12111"/>
    <cellWatch r="G12112"/>
    <cellWatch r="G12113"/>
    <cellWatch r="G12114"/>
    <cellWatch r="G12115"/>
    <cellWatch r="G12116"/>
    <cellWatch r="G12117"/>
    <cellWatch r="G12118"/>
    <cellWatch r="G12119"/>
    <cellWatch r="G12120"/>
    <cellWatch r="G12121"/>
    <cellWatch r="G12122"/>
    <cellWatch r="G12123"/>
    <cellWatch r="G12124"/>
    <cellWatch r="G12125"/>
    <cellWatch r="G12126"/>
    <cellWatch r="G12127"/>
    <cellWatch r="G12128"/>
    <cellWatch r="G12129"/>
    <cellWatch r="G12130"/>
    <cellWatch r="G12131"/>
    <cellWatch r="G12132"/>
    <cellWatch r="G12133"/>
    <cellWatch r="G12134"/>
    <cellWatch r="G12135"/>
    <cellWatch r="G12136"/>
    <cellWatch r="G12137"/>
    <cellWatch r="G12138"/>
    <cellWatch r="G12139"/>
    <cellWatch r="G12140"/>
    <cellWatch r="G12141"/>
    <cellWatch r="G12142"/>
    <cellWatch r="G12143"/>
    <cellWatch r="G12144"/>
    <cellWatch r="G12145"/>
    <cellWatch r="G12146"/>
    <cellWatch r="G12147"/>
    <cellWatch r="G12148"/>
    <cellWatch r="G12149"/>
    <cellWatch r="G12150"/>
    <cellWatch r="G12151"/>
    <cellWatch r="G12152"/>
    <cellWatch r="G12153"/>
    <cellWatch r="G12154"/>
    <cellWatch r="G12155"/>
    <cellWatch r="G12156"/>
    <cellWatch r="G12157"/>
    <cellWatch r="G12158"/>
    <cellWatch r="G12159"/>
    <cellWatch r="G12160"/>
    <cellWatch r="G12161"/>
    <cellWatch r="G12162"/>
    <cellWatch r="G12163"/>
    <cellWatch r="G12164"/>
    <cellWatch r="G12165"/>
    <cellWatch r="G12166"/>
    <cellWatch r="G12167"/>
    <cellWatch r="G12168"/>
    <cellWatch r="G12169"/>
    <cellWatch r="G12170"/>
    <cellWatch r="G12171"/>
    <cellWatch r="G12172"/>
    <cellWatch r="G12173"/>
    <cellWatch r="G12174"/>
    <cellWatch r="G12175"/>
    <cellWatch r="G12176"/>
    <cellWatch r="G12177"/>
    <cellWatch r="G12178"/>
    <cellWatch r="G12179"/>
    <cellWatch r="G12180"/>
    <cellWatch r="G12181"/>
    <cellWatch r="G12182"/>
    <cellWatch r="G12183"/>
    <cellWatch r="G12184"/>
    <cellWatch r="G12185"/>
    <cellWatch r="G12186"/>
    <cellWatch r="G12187"/>
    <cellWatch r="G12188"/>
    <cellWatch r="G12189"/>
    <cellWatch r="G12190"/>
    <cellWatch r="G12191"/>
    <cellWatch r="G12192"/>
    <cellWatch r="G12193"/>
    <cellWatch r="G12194"/>
    <cellWatch r="G12195"/>
    <cellWatch r="G12196"/>
    <cellWatch r="G12197"/>
    <cellWatch r="G12198"/>
    <cellWatch r="G12199"/>
    <cellWatch r="G12200"/>
    <cellWatch r="G12201"/>
    <cellWatch r="G12202"/>
    <cellWatch r="G12203"/>
    <cellWatch r="G12204"/>
    <cellWatch r="G12205"/>
    <cellWatch r="G12206"/>
    <cellWatch r="G12207"/>
    <cellWatch r="G12208"/>
    <cellWatch r="G12209"/>
    <cellWatch r="G12210"/>
    <cellWatch r="G12211"/>
    <cellWatch r="G12212"/>
    <cellWatch r="G12213"/>
    <cellWatch r="G12214"/>
    <cellWatch r="G12215"/>
    <cellWatch r="G12216"/>
    <cellWatch r="G12217"/>
    <cellWatch r="G12218"/>
    <cellWatch r="G12219"/>
    <cellWatch r="G12220"/>
    <cellWatch r="G12221"/>
    <cellWatch r="G12222"/>
    <cellWatch r="G12223"/>
    <cellWatch r="G12224"/>
    <cellWatch r="G12225"/>
    <cellWatch r="G12226"/>
    <cellWatch r="G12227"/>
    <cellWatch r="G12228"/>
    <cellWatch r="G12229"/>
    <cellWatch r="G12230"/>
    <cellWatch r="G12231"/>
    <cellWatch r="G12232"/>
    <cellWatch r="G12233"/>
    <cellWatch r="G12234"/>
    <cellWatch r="G12235"/>
    <cellWatch r="G12236"/>
    <cellWatch r="G12237"/>
    <cellWatch r="G12238"/>
    <cellWatch r="G12239"/>
    <cellWatch r="G12240"/>
    <cellWatch r="G12241"/>
    <cellWatch r="G12242"/>
    <cellWatch r="G12243"/>
    <cellWatch r="G12244"/>
    <cellWatch r="G12245"/>
    <cellWatch r="G12246"/>
    <cellWatch r="G12247"/>
    <cellWatch r="G12248"/>
    <cellWatch r="G12249"/>
    <cellWatch r="G12250"/>
    <cellWatch r="G12251"/>
    <cellWatch r="G12252"/>
    <cellWatch r="G12253"/>
    <cellWatch r="G12254"/>
    <cellWatch r="G12255"/>
    <cellWatch r="G12256"/>
    <cellWatch r="G12257"/>
    <cellWatch r="G12258"/>
    <cellWatch r="G12259"/>
    <cellWatch r="G12260"/>
    <cellWatch r="G12261"/>
    <cellWatch r="G12262"/>
    <cellWatch r="G12263"/>
    <cellWatch r="G12264"/>
    <cellWatch r="G12265"/>
    <cellWatch r="G12266"/>
    <cellWatch r="G12267"/>
    <cellWatch r="G12268"/>
    <cellWatch r="G12269"/>
    <cellWatch r="G12270"/>
    <cellWatch r="G12271"/>
    <cellWatch r="G12272"/>
    <cellWatch r="G12273"/>
    <cellWatch r="G12274"/>
    <cellWatch r="G12275"/>
    <cellWatch r="G12276"/>
    <cellWatch r="G12277"/>
    <cellWatch r="G12278"/>
    <cellWatch r="G12279"/>
    <cellWatch r="G12280"/>
    <cellWatch r="G12281"/>
    <cellWatch r="G12282"/>
    <cellWatch r="G12283"/>
    <cellWatch r="G12284"/>
    <cellWatch r="G12285"/>
    <cellWatch r="G12286"/>
    <cellWatch r="G12287"/>
    <cellWatch r="G12288"/>
    <cellWatch r="G12289"/>
    <cellWatch r="G12290"/>
    <cellWatch r="G12291"/>
    <cellWatch r="G12292"/>
    <cellWatch r="G12293"/>
    <cellWatch r="G12294"/>
    <cellWatch r="G12295"/>
    <cellWatch r="G12296"/>
    <cellWatch r="G12297"/>
    <cellWatch r="G12298"/>
    <cellWatch r="G12299"/>
    <cellWatch r="G12300"/>
    <cellWatch r="G12301"/>
    <cellWatch r="G12302"/>
    <cellWatch r="G12303"/>
    <cellWatch r="G12304"/>
    <cellWatch r="G12305"/>
    <cellWatch r="G12306"/>
    <cellWatch r="G12307"/>
    <cellWatch r="G12308"/>
    <cellWatch r="G12309"/>
    <cellWatch r="G12310"/>
    <cellWatch r="G12311"/>
    <cellWatch r="G12312"/>
    <cellWatch r="G12313"/>
    <cellWatch r="G12314"/>
    <cellWatch r="G12315"/>
    <cellWatch r="G12316"/>
    <cellWatch r="G12317"/>
    <cellWatch r="G12318"/>
    <cellWatch r="G12319"/>
    <cellWatch r="G12320"/>
    <cellWatch r="G12321"/>
    <cellWatch r="G12322"/>
    <cellWatch r="G12323"/>
    <cellWatch r="G12324"/>
    <cellWatch r="G12325"/>
    <cellWatch r="G12326"/>
    <cellWatch r="G12327"/>
    <cellWatch r="G12328"/>
    <cellWatch r="G12329"/>
    <cellWatch r="G12330"/>
    <cellWatch r="G12331"/>
    <cellWatch r="G12332"/>
    <cellWatch r="G12333"/>
    <cellWatch r="G12334"/>
    <cellWatch r="G12335"/>
    <cellWatch r="G12336"/>
    <cellWatch r="G12337"/>
    <cellWatch r="G12338"/>
    <cellWatch r="G12339"/>
    <cellWatch r="G12340"/>
    <cellWatch r="G12341"/>
    <cellWatch r="G12342"/>
    <cellWatch r="G12343"/>
    <cellWatch r="G12344"/>
    <cellWatch r="G12345"/>
    <cellWatch r="G12346"/>
    <cellWatch r="G12347"/>
    <cellWatch r="G12348"/>
    <cellWatch r="G12349"/>
    <cellWatch r="G12350"/>
    <cellWatch r="G12351"/>
    <cellWatch r="G12352"/>
    <cellWatch r="G12353"/>
    <cellWatch r="G12354"/>
    <cellWatch r="G12355"/>
    <cellWatch r="G12356"/>
    <cellWatch r="G12357"/>
    <cellWatch r="G12358"/>
    <cellWatch r="G12359"/>
    <cellWatch r="G12360"/>
    <cellWatch r="G12361"/>
    <cellWatch r="G12362"/>
    <cellWatch r="G12363"/>
    <cellWatch r="G12364"/>
    <cellWatch r="G12365"/>
    <cellWatch r="G12366"/>
    <cellWatch r="G12367"/>
    <cellWatch r="G12368"/>
    <cellWatch r="G12369"/>
    <cellWatch r="G12370"/>
    <cellWatch r="G12371"/>
    <cellWatch r="G12372"/>
    <cellWatch r="G12373"/>
    <cellWatch r="G12374"/>
    <cellWatch r="G12375"/>
    <cellWatch r="G12376"/>
    <cellWatch r="G12377"/>
    <cellWatch r="G12378"/>
    <cellWatch r="G12379"/>
    <cellWatch r="G12380"/>
    <cellWatch r="G12381"/>
    <cellWatch r="G12382"/>
    <cellWatch r="G12383"/>
    <cellWatch r="G12384"/>
    <cellWatch r="G12385"/>
    <cellWatch r="G12386"/>
    <cellWatch r="G12387"/>
    <cellWatch r="G12388"/>
    <cellWatch r="G12389"/>
    <cellWatch r="G12390"/>
    <cellWatch r="G12391"/>
    <cellWatch r="G12392"/>
    <cellWatch r="G12393"/>
    <cellWatch r="G12394"/>
    <cellWatch r="G12395"/>
    <cellWatch r="G12396"/>
    <cellWatch r="G12397"/>
    <cellWatch r="G12398"/>
    <cellWatch r="G12399"/>
    <cellWatch r="G12400"/>
    <cellWatch r="G12401"/>
    <cellWatch r="G12402"/>
    <cellWatch r="G12403"/>
    <cellWatch r="G12404"/>
    <cellWatch r="G12405"/>
    <cellWatch r="G12406"/>
    <cellWatch r="G12407"/>
    <cellWatch r="G12408"/>
    <cellWatch r="G12409"/>
    <cellWatch r="G12410"/>
    <cellWatch r="G12411"/>
    <cellWatch r="G12412"/>
    <cellWatch r="G12413"/>
    <cellWatch r="G12414"/>
    <cellWatch r="G12415"/>
    <cellWatch r="G12416"/>
    <cellWatch r="G12417"/>
    <cellWatch r="G12418"/>
    <cellWatch r="G12419"/>
    <cellWatch r="G12420"/>
    <cellWatch r="G12421"/>
    <cellWatch r="G12422"/>
    <cellWatch r="G12423"/>
    <cellWatch r="G12424"/>
    <cellWatch r="G12425"/>
    <cellWatch r="G12426"/>
    <cellWatch r="G12427"/>
    <cellWatch r="G12428"/>
    <cellWatch r="G12429"/>
    <cellWatch r="G12430"/>
    <cellWatch r="G12431"/>
    <cellWatch r="G12432"/>
    <cellWatch r="G12433"/>
    <cellWatch r="G12434"/>
    <cellWatch r="G12435"/>
    <cellWatch r="G12436"/>
    <cellWatch r="G12437"/>
    <cellWatch r="G12438"/>
    <cellWatch r="G12439"/>
    <cellWatch r="G12440"/>
    <cellWatch r="G12441"/>
    <cellWatch r="G12442"/>
    <cellWatch r="G12443"/>
    <cellWatch r="G12444"/>
    <cellWatch r="G12445"/>
    <cellWatch r="G12446"/>
    <cellWatch r="G12447"/>
    <cellWatch r="G12448"/>
    <cellWatch r="G12449"/>
    <cellWatch r="G12450"/>
    <cellWatch r="G12451"/>
    <cellWatch r="G12452"/>
    <cellWatch r="G12453"/>
    <cellWatch r="G12454"/>
    <cellWatch r="G12455"/>
    <cellWatch r="G12456"/>
    <cellWatch r="G12457"/>
    <cellWatch r="G12458"/>
    <cellWatch r="G12459"/>
    <cellWatch r="G12460"/>
    <cellWatch r="G12461"/>
    <cellWatch r="G12462"/>
    <cellWatch r="G12463"/>
    <cellWatch r="G12464"/>
    <cellWatch r="G12465"/>
    <cellWatch r="G12466"/>
    <cellWatch r="G12467"/>
    <cellWatch r="G12468"/>
    <cellWatch r="G12469"/>
    <cellWatch r="G12470"/>
    <cellWatch r="G12471"/>
    <cellWatch r="G12472"/>
    <cellWatch r="G12473"/>
    <cellWatch r="G12474"/>
    <cellWatch r="G12475"/>
    <cellWatch r="G12476"/>
    <cellWatch r="G12477"/>
    <cellWatch r="G12478"/>
    <cellWatch r="G12479"/>
    <cellWatch r="G12480"/>
    <cellWatch r="G12481"/>
    <cellWatch r="G12482"/>
    <cellWatch r="G12483"/>
    <cellWatch r="G12484"/>
    <cellWatch r="G12485"/>
    <cellWatch r="G12486"/>
    <cellWatch r="G12487"/>
    <cellWatch r="G12488"/>
    <cellWatch r="G12489"/>
    <cellWatch r="G12490"/>
    <cellWatch r="G12491"/>
    <cellWatch r="G12492"/>
    <cellWatch r="G12493"/>
    <cellWatch r="G12494"/>
    <cellWatch r="G12495"/>
    <cellWatch r="G12496"/>
    <cellWatch r="G12497"/>
    <cellWatch r="G12498"/>
    <cellWatch r="G12499"/>
    <cellWatch r="G12500"/>
    <cellWatch r="G12501"/>
    <cellWatch r="G12502"/>
    <cellWatch r="G12503"/>
    <cellWatch r="G12504"/>
    <cellWatch r="G12505"/>
    <cellWatch r="G12506"/>
    <cellWatch r="G12507"/>
    <cellWatch r="G12508"/>
    <cellWatch r="G12509"/>
    <cellWatch r="G12510"/>
    <cellWatch r="G12511"/>
    <cellWatch r="G12512"/>
    <cellWatch r="G12513"/>
    <cellWatch r="G12514"/>
    <cellWatch r="G12515"/>
    <cellWatch r="G12516"/>
    <cellWatch r="G12517"/>
    <cellWatch r="G12518"/>
    <cellWatch r="G12519"/>
    <cellWatch r="G12520"/>
    <cellWatch r="G12521"/>
    <cellWatch r="G12522"/>
    <cellWatch r="G12523"/>
    <cellWatch r="G12524"/>
    <cellWatch r="G12525"/>
    <cellWatch r="G12526"/>
    <cellWatch r="G12527"/>
    <cellWatch r="G12528"/>
    <cellWatch r="G12529"/>
    <cellWatch r="G12530"/>
    <cellWatch r="G12531"/>
    <cellWatch r="G12532"/>
    <cellWatch r="G12533"/>
    <cellWatch r="G12534"/>
    <cellWatch r="G12535"/>
    <cellWatch r="G12536"/>
    <cellWatch r="G12537"/>
    <cellWatch r="G12538"/>
    <cellWatch r="G12539"/>
    <cellWatch r="G12540"/>
    <cellWatch r="G12541"/>
    <cellWatch r="G12542"/>
    <cellWatch r="G12543"/>
    <cellWatch r="G12544"/>
    <cellWatch r="G12545"/>
    <cellWatch r="G12546"/>
    <cellWatch r="G12547"/>
    <cellWatch r="G12548"/>
    <cellWatch r="G12549"/>
    <cellWatch r="G12550"/>
    <cellWatch r="G12551"/>
    <cellWatch r="G12552"/>
    <cellWatch r="G12553"/>
    <cellWatch r="G12554"/>
    <cellWatch r="G12555"/>
    <cellWatch r="G12556"/>
    <cellWatch r="G12557"/>
    <cellWatch r="G12558"/>
    <cellWatch r="G12559"/>
    <cellWatch r="G12560"/>
    <cellWatch r="G12561"/>
    <cellWatch r="G12562"/>
    <cellWatch r="G12563"/>
    <cellWatch r="G12564"/>
    <cellWatch r="G12565"/>
    <cellWatch r="G12566"/>
    <cellWatch r="G12567"/>
    <cellWatch r="G12568"/>
    <cellWatch r="G12569"/>
    <cellWatch r="G12570"/>
    <cellWatch r="G12571"/>
    <cellWatch r="G12572"/>
    <cellWatch r="G12573"/>
    <cellWatch r="G12574"/>
    <cellWatch r="G12575"/>
    <cellWatch r="G12576"/>
    <cellWatch r="G12577"/>
    <cellWatch r="G12578"/>
    <cellWatch r="G12579"/>
    <cellWatch r="G12580"/>
    <cellWatch r="G12581"/>
    <cellWatch r="G12582"/>
    <cellWatch r="G12583"/>
    <cellWatch r="G12584"/>
    <cellWatch r="G12585"/>
    <cellWatch r="G12586"/>
    <cellWatch r="G12587"/>
    <cellWatch r="G12588"/>
    <cellWatch r="G12589"/>
    <cellWatch r="G12590"/>
    <cellWatch r="G12591"/>
    <cellWatch r="G12592"/>
    <cellWatch r="G12593"/>
    <cellWatch r="G12594"/>
    <cellWatch r="G12595"/>
    <cellWatch r="G12596"/>
    <cellWatch r="G12597"/>
    <cellWatch r="G12598"/>
    <cellWatch r="G12599"/>
    <cellWatch r="G12600"/>
    <cellWatch r="G12601"/>
    <cellWatch r="G12602"/>
    <cellWatch r="G12603"/>
    <cellWatch r="G12604"/>
    <cellWatch r="G12605"/>
    <cellWatch r="G12606"/>
    <cellWatch r="G12607"/>
    <cellWatch r="G12608"/>
    <cellWatch r="G12609"/>
    <cellWatch r="G12610"/>
    <cellWatch r="G12611"/>
    <cellWatch r="G12612"/>
    <cellWatch r="G12613"/>
    <cellWatch r="G12614"/>
    <cellWatch r="G12615"/>
    <cellWatch r="G12616"/>
    <cellWatch r="G12617"/>
    <cellWatch r="G12618"/>
    <cellWatch r="G12619"/>
    <cellWatch r="G12620"/>
    <cellWatch r="G12621"/>
    <cellWatch r="G12622"/>
    <cellWatch r="G12623"/>
    <cellWatch r="G12624"/>
    <cellWatch r="G12625"/>
    <cellWatch r="G12626"/>
    <cellWatch r="G12627"/>
    <cellWatch r="G12628"/>
    <cellWatch r="G12629"/>
    <cellWatch r="G12630"/>
    <cellWatch r="G12631"/>
    <cellWatch r="G12632"/>
    <cellWatch r="G12633"/>
    <cellWatch r="G12634"/>
    <cellWatch r="G12635"/>
    <cellWatch r="G12636"/>
    <cellWatch r="G12637"/>
    <cellWatch r="G12638"/>
    <cellWatch r="G12639"/>
    <cellWatch r="G12640"/>
    <cellWatch r="G12641"/>
    <cellWatch r="G12642"/>
    <cellWatch r="G12643"/>
    <cellWatch r="G12644"/>
    <cellWatch r="G12645"/>
    <cellWatch r="G12646"/>
    <cellWatch r="G12647"/>
    <cellWatch r="G12648"/>
    <cellWatch r="G12649"/>
    <cellWatch r="G12650"/>
    <cellWatch r="G12651"/>
    <cellWatch r="G12652"/>
    <cellWatch r="G12653"/>
    <cellWatch r="G12654"/>
    <cellWatch r="G12655"/>
    <cellWatch r="G12656"/>
    <cellWatch r="G12657"/>
    <cellWatch r="G12658"/>
    <cellWatch r="G12659"/>
    <cellWatch r="G12660"/>
    <cellWatch r="G12661"/>
    <cellWatch r="G12662"/>
    <cellWatch r="G12663"/>
    <cellWatch r="G12664"/>
    <cellWatch r="G12665"/>
    <cellWatch r="G12666"/>
    <cellWatch r="G12667"/>
    <cellWatch r="G12668"/>
    <cellWatch r="G12669"/>
    <cellWatch r="G12670"/>
    <cellWatch r="G12671"/>
    <cellWatch r="G12672"/>
    <cellWatch r="G12673"/>
    <cellWatch r="G12674"/>
    <cellWatch r="G12675"/>
    <cellWatch r="G12676"/>
    <cellWatch r="G12677"/>
    <cellWatch r="G12678"/>
    <cellWatch r="G12679"/>
    <cellWatch r="G12680"/>
    <cellWatch r="G12681"/>
    <cellWatch r="G12682"/>
    <cellWatch r="G12683"/>
    <cellWatch r="G12684"/>
    <cellWatch r="G12685"/>
    <cellWatch r="G12686"/>
    <cellWatch r="G12687"/>
    <cellWatch r="G12688"/>
    <cellWatch r="G12689"/>
    <cellWatch r="G12690"/>
    <cellWatch r="G12691"/>
    <cellWatch r="G12692"/>
    <cellWatch r="G12693"/>
    <cellWatch r="G12694"/>
    <cellWatch r="G12695"/>
    <cellWatch r="G12696"/>
    <cellWatch r="G12697"/>
    <cellWatch r="G12698"/>
    <cellWatch r="G12699"/>
    <cellWatch r="G12700"/>
    <cellWatch r="G12701"/>
    <cellWatch r="G12702"/>
    <cellWatch r="G12703"/>
    <cellWatch r="G12704"/>
    <cellWatch r="G12705"/>
    <cellWatch r="G12706"/>
    <cellWatch r="G12707"/>
    <cellWatch r="G12708"/>
    <cellWatch r="G12709"/>
    <cellWatch r="G12710"/>
    <cellWatch r="G12711"/>
    <cellWatch r="G12712"/>
    <cellWatch r="G12713"/>
    <cellWatch r="G12714"/>
    <cellWatch r="G12715"/>
    <cellWatch r="G12716"/>
    <cellWatch r="G12717"/>
    <cellWatch r="G12718"/>
    <cellWatch r="G12719"/>
    <cellWatch r="G12720"/>
    <cellWatch r="G12721"/>
    <cellWatch r="G12722"/>
    <cellWatch r="G12723"/>
    <cellWatch r="G12724"/>
    <cellWatch r="G12725"/>
    <cellWatch r="G12726"/>
    <cellWatch r="G12727"/>
    <cellWatch r="G12728"/>
    <cellWatch r="G12729"/>
    <cellWatch r="G12730"/>
    <cellWatch r="G12731"/>
    <cellWatch r="G12732"/>
    <cellWatch r="G12733"/>
    <cellWatch r="G12734"/>
    <cellWatch r="G12735"/>
    <cellWatch r="G12736"/>
    <cellWatch r="G12737"/>
    <cellWatch r="G12738"/>
    <cellWatch r="G12739"/>
    <cellWatch r="G12740"/>
    <cellWatch r="G12741"/>
    <cellWatch r="G12742"/>
    <cellWatch r="G12743"/>
    <cellWatch r="G12744"/>
    <cellWatch r="G12745"/>
    <cellWatch r="G12746"/>
    <cellWatch r="G12747"/>
    <cellWatch r="G12748"/>
    <cellWatch r="G12749"/>
    <cellWatch r="G12750"/>
    <cellWatch r="G12751"/>
    <cellWatch r="G12752"/>
    <cellWatch r="G12753"/>
    <cellWatch r="G12754"/>
    <cellWatch r="G12755"/>
    <cellWatch r="G12756"/>
    <cellWatch r="G12757"/>
    <cellWatch r="G12758"/>
    <cellWatch r="G12759"/>
    <cellWatch r="G12760"/>
    <cellWatch r="G12761"/>
    <cellWatch r="G12762"/>
    <cellWatch r="G12763"/>
    <cellWatch r="G12764"/>
    <cellWatch r="G12765"/>
    <cellWatch r="G12766"/>
    <cellWatch r="G12767"/>
    <cellWatch r="G12768"/>
    <cellWatch r="G12769"/>
    <cellWatch r="G12770"/>
    <cellWatch r="G12771"/>
    <cellWatch r="G12772"/>
    <cellWatch r="G12773"/>
    <cellWatch r="G12774"/>
    <cellWatch r="G12775"/>
    <cellWatch r="G12776"/>
    <cellWatch r="G12777"/>
    <cellWatch r="G12778"/>
    <cellWatch r="G12779"/>
    <cellWatch r="G12780"/>
    <cellWatch r="G12781"/>
    <cellWatch r="G12782"/>
    <cellWatch r="G12783"/>
    <cellWatch r="G12784"/>
    <cellWatch r="G12785"/>
    <cellWatch r="G12786"/>
    <cellWatch r="G12787"/>
    <cellWatch r="G12788"/>
    <cellWatch r="G12789"/>
    <cellWatch r="G12790"/>
    <cellWatch r="G12791"/>
    <cellWatch r="G12792"/>
    <cellWatch r="G12793"/>
    <cellWatch r="G12794"/>
    <cellWatch r="G12795"/>
    <cellWatch r="G12796"/>
    <cellWatch r="G12797"/>
    <cellWatch r="G12798"/>
    <cellWatch r="G12799"/>
    <cellWatch r="G12800"/>
    <cellWatch r="G12801"/>
    <cellWatch r="G12802"/>
    <cellWatch r="G12803"/>
    <cellWatch r="G12804"/>
    <cellWatch r="G12805"/>
    <cellWatch r="G12806"/>
    <cellWatch r="G12807"/>
    <cellWatch r="G12808"/>
    <cellWatch r="G12809"/>
    <cellWatch r="G12810"/>
    <cellWatch r="G12811"/>
    <cellWatch r="G12812"/>
    <cellWatch r="G12813"/>
    <cellWatch r="G12814"/>
    <cellWatch r="G12815"/>
    <cellWatch r="G12816"/>
    <cellWatch r="G12817"/>
    <cellWatch r="G12818"/>
    <cellWatch r="G12819"/>
    <cellWatch r="G12820"/>
    <cellWatch r="G12821"/>
    <cellWatch r="G12822"/>
    <cellWatch r="G12823"/>
    <cellWatch r="G12824"/>
    <cellWatch r="G12825"/>
    <cellWatch r="G12826"/>
    <cellWatch r="G12827"/>
    <cellWatch r="G12828"/>
    <cellWatch r="G12829"/>
    <cellWatch r="G12830"/>
    <cellWatch r="G12831"/>
    <cellWatch r="G12832"/>
    <cellWatch r="G12833"/>
    <cellWatch r="G12834"/>
    <cellWatch r="G12835"/>
    <cellWatch r="G12836"/>
    <cellWatch r="G12837"/>
    <cellWatch r="G12838"/>
    <cellWatch r="G12839"/>
    <cellWatch r="G12840"/>
    <cellWatch r="G12841"/>
    <cellWatch r="G12842"/>
    <cellWatch r="G12843"/>
    <cellWatch r="G12844"/>
    <cellWatch r="G12845"/>
    <cellWatch r="G12846"/>
    <cellWatch r="G12847"/>
    <cellWatch r="G12848"/>
    <cellWatch r="G12849"/>
    <cellWatch r="G12850"/>
    <cellWatch r="G12851"/>
    <cellWatch r="G12852"/>
    <cellWatch r="G12853"/>
    <cellWatch r="G12854"/>
    <cellWatch r="G12855"/>
    <cellWatch r="G12856"/>
    <cellWatch r="G12857"/>
    <cellWatch r="G12858"/>
    <cellWatch r="G12859"/>
    <cellWatch r="G12860"/>
    <cellWatch r="G12861"/>
    <cellWatch r="G12862"/>
    <cellWatch r="G12863"/>
    <cellWatch r="G12864"/>
    <cellWatch r="G12865"/>
    <cellWatch r="G12866"/>
    <cellWatch r="G12867"/>
    <cellWatch r="G12868"/>
    <cellWatch r="G12869"/>
    <cellWatch r="G12870"/>
    <cellWatch r="G12871"/>
    <cellWatch r="G12872"/>
    <cellWatch r="G12873"/>
    <cellWatch r="G12874"/>
    <cellWatch r="G12875"/>
    <cellWatch r="G12876"/>
    <cellWatch r="G12877"/>
    <cellWatch r="G12878"/>
    <cellWatch r="G12879"/>
    <cellWatch r="G12880"/>
    <cellWatch r="G12881"/>
    <cellWatch r="G12882"/>
    <cellWatch r="G12883"/>
    <cellWatch r="G12884"/>
    <cellWatch r="G12885"/>
    <cellWatch r="G12886"/>
    <cellWatch r="G12887"/>
    <cellWatch r="G12888"/>
    <cellWatch r="G12889"/>
    <cellWatch r="G12890"/>
    <cellWatch r="G12891"/>
    <cellWatch r="G12892"/>
    <cellWatch r="G12893"/>
    <cellWatch r="G12894"/>
    <cellWatch r="G12895"/>
    <cellWatch r="G12896"/>
    <cellWatch r="G12897"/>
    <cellWatch r="G12898"/>
    <cellWatch r="G12899"/>
    <cellWatch r="G12900"/>
    <cellWatch r="G12901"/>
    <cellWatch r="G12902"/>
    <cellWatch r="G12903"/>
    <cellWatch r="G12904"/>
    <cellWatch r="G12905"/>
    <cellWatch r="G12906"/>
    <cellWatch r="G12907"/>
    <cellWatch r="G12908"/>
    <cellWatch r="G12909"/>
    <cellWatch r="G12910"/>
    <cellWatch r="G12911"/>
    <cellWatch r="G12912"/>
    <cellWatch r="G12913"/>
    <cellWatch r="G12914"/>
    <cellWatch r="G12915"/>
    <cellWatch r="G12916"/>
    <cellWatch r="G12917"/>
    <cellWatch r="G12918"/>
    <cellWatch r="G12919"/>
    <cellWatch r="G12920"/>
    <cellWatch r="G12921"/>
    <cellWatch r="G12922"/>
    <cellWatch r="G12923"/>
    <cellWatch r="G12924"/>
    <cellWatch r="G12925"/>
    <cellWatch r="G12926"/>
    <cellWatch r="G12927"/>
    <cellWatch r="G12928"/>
    <cellWatch r="G12929"/>
    <cellWatch r="G12930"/>
    <cellWatch r="G12931"/>
    <cellWatch r="G12932"/>
    <cellWatch r="G12933"/>
    <cellWatch r="G12934"/>
    <cellWatch r="G12935"/>
    <cellWatch r="G12936"/>
    <cellWatch r="G12937"/>
    <cellWatch r="G12938"/>
    <cellWatch r="G12939"/>
    <cellWatch r="G12940"/>
    <cellWatch r="G12941"/>
    <cellWatch r="G12942"/>
    <cellWatch r="G12943"/>
    <cellWatch r="G12944"/>
    <cellWatch r="G12945"/>
    <cellWatch r="G12946"/>
    <cellWatch r="G12947"/>
    <cellWatch r="G12948"/>
    <cellWatch r="G12949"/>
    <cellWatch r="G12950"/>
    <cellWatch r="G12951"/>
    <cellWatch r="G12952"/>
    <cellWatch r="G12953"/>
    <cellWatch r="G12954"/>
    <cellWatch r="G12955"/>
    <cellWatch r="G12956"/>
    <cellWatch r="G12957"/>
    <cellWatch r="G12958"/>
    <cellWatch r="G12959"/>
    <cellWatch r="G12960"/>
    <cellWatch r="G12961"/>
    <cellWatch r="G12962"/>
    <cellWatch r="G12963"/>
    <cellWatch r="G12964"/>
    <cellWatch r="G12965"/>
    <cellWatch r="G12966"/>
    <cellWatch r="G12967"/>
    <cellWatch r="G12968"/>
    <cellWatch r="G12969"/>
    <cellWatch r="G12970"/>
    <cellWatch r="G12971"/>
    <cellWatch r="G12972"/>
    <cellWatch r="G12973"/>
    <cellWatch r="G12974"/>
    <cellWatch r="G12975"/>
    <cellWatch r="G12976"/>
    <cellWatch r="G12977"/>
    <cellWatch r="G12978"/>
    <cellWatch r="G12979"/>
    <cellWatch r="G12980"/>
    <cellWatch r="G12981"/>
    <cellWatch r="G12982"/>
    <cellWatch r="G12983"/>
    <cellWatch r="G12984"/>
    <cellWatch r="G12985"/>
    <cellWatch r="G12986"/>
    <cellWatch r="G12987"/>
    <cellWatch r="G12988"/>
    <cellWatch r="G12989"/>
    <cellWatch r="G12990"/>
    <cellWatch r="G12991"/>
    <cellWatch r="G12992"/>
    <cellWatch r="G12993"/>
    <cellWatch r="G12994"/>
    <cellWatch r="G12995"/>
    <cellWatch r="G12996"/>
    <cellWatch r="G12997"/>
    <cellWatch r="G12998"/>
    <cellWatch r="G12999"/>
    <cellWatch r="G13000"/>
    <cellWatch r="G13001"/>
    <cellWatch r="G13002"/>
    <cellWatch r="G13003"/>
    <cellWatch r="G13004"/>
    <cellWatch r="G13005"/>
    <cellWatch r="G13006"/>
    <cellWatch r="G13007"/>
    <cellWatch r="G13008"/>
    <cellWatch r="G13009"/>
    <cellWatch r="G13010"/>
    <cellWatch r="G13011"/>
    <cellWatch r="G13012"/>
    <cellWatch r="G13013"/>
    <cellWatch r="G13014"/>
    <cellWatch r="G13015"/>
    <cellWatch r="G13016"/>
    <cellWatch r="G13017"/>
    <cellWatch r="G13018"/>
    <cellWatch r="G13019"/>
    <cellWatch r="G13020"/>
    <cellWatch r="G13021"/>
    <cellWatch r="G13022"/>
    <cellWatch r="G13023"/>
    <cellWatch r="G13024"/>
    <cellWatch r="G13025"/>
    <cellWatch r="G13026"/>
    <cellWatch r="G13027"/>
    <cellWatch r="G13028"/>
    <cellWatch r="G13029"/>
    <cellWatch r="G13030"/>
    <cellWatch r="G13031"/>
    <cellWatch r="G13032"/>
    <cellWatch r="G13033"/>
    <cellWatch r="G13034"/>
    <cellWatch r="G13035"/>
    <cellWatch r="G13036"/>
    <cellWatch r="G13037"/>
    <cellWatch r="G13038"/>
    <cellWatch r="G13039"/>
    <cellWatch r="G13040"/>
    <cellWatch r="G13041"/>
    <cellWatch r="G13042"/>
    <cellWatch r="G13043"/>
    <cellWatch r="G13044"/>
    <cellWatch r="G13045"/>
    <cellWatch r="G13046"/>
    <cellWatch r="G13047"/>
    <cellWatch r="G13048"/>
    <cellWatch r="G13049"/>
    <cellWatch r="G13050"/>
    <cellWatch r="G13051"/>
    <cellWatch r="G13052"/>
    <cellWatch r="G13053"/>
    <cellWatch r="G13054"/>
    <cellWatch r="G13055"/>
    <cellWatch r="G13056"/>
    <cellWatch r="G13057"/>
    <cellWatch r="G13058"/>
    <cellWatch r="G13059"/>
    <cellWatch r="G13060"/>
    <cellWatch r="G13061"/>
    <cellWatch r="G13062"/>
    <cellWatch r="G13063"/>
    <cellWatch r="G13064"/>
    <cellWatch r="G13065"/>
    <cellWatch r="G13066"/>
    <cellWatch r="G13067"/>
    <cellWatch r="G13068"/>
    <cellWatch r="G13069"/>
    <cellWatch r="G13070"/>
    <cellWatch r="G13071"/>
    <cellWatch r="G13072"/>
    <cellWatch r="G13073"/>
    <cellWatch r="G13074"/>
    <cellWatch r="G13075"/>
    <cellWatch r="G13076"/>
    <cellWatch r="G13077"/>
    <cellWatch r="G13078"/>
    <cellWatch r="G13079"/>
    <cellWatch r="G13080"/>
    <cellWatch r="G13081"/>
    <cellWatch r="G13082"/>
    <cellWatch r="G13083"/>
    <cellWatch r="G13084"/>
    <cellWatch r="G13085"/>
    <cellWatch r="G13086"/>
    <cellWatch r="G13087"/>
    <cellWatch r="G13088"/>
    <cellWatch r="G13089"/>
    <cellWatch r="G13090"/>
    <cellWatch r="G13091"/>
    <cellWatch r="G13092"/>
    <cellWatch r="G13093"/>
    <cellWatch r="G13094"/>
    <cellWatch r="G13095"/>
    <cellWatch r="G13096"/>
    <cellWatch r="G13097"/>
    <cellWatch r="G13098"/>
    <cellWatch r="G13099"/>
    <cellWatch r="G13100"/>
    <cellWatch r="G13101"/>
    <cellWatch r="G13102"/>
    <cellWatch r="G13103"/>
    <cellWatch r="G13104"/>
    <cellWatch r="G13105"/>
    <cellWatch r="G13106"/>
    <cellWatch r="G13107"/>
    <cellWatch r="G13108"/>
    <cellWatch r="G13109"/>
    <cellWatch r="G13110"/>
    <cellWatch r="G13111"/>
    <cellWatch r="G13112"/>
    <cellWatch r="G13113"/>
    <cellWatch r="G13114"/>
    <cellWatch r="G13115"/>
    <cellWatch r="G13116"/>
    <cellWatch r="G13117"/>
    <cellWatch r="G13118"/>
    <cellWatch r="G13119"/>
    <cellWatch r="G13120"/>
    <cellWatch r="G13121"/>
    <cellWatch r="G13122"/>
    <cellWatch r="G13123"/>
    <cellWatch r="G13124"/>
    <cellWatch r="G13125"/>
    <cellWatch r="G13126"/>
    <cellWatch r="G13127"/>
    <cellWatch r="G13128"/>
    <cellWatch r="G13129"/>
    <cellWatch r="G13130"/>
    <cellWatch r="G13131"/>
    <cellWatch r="G13132"/>
    <cellWatch r="G13133"/>
    <cellWatch r="G13134"/>
    <cellWatch r="G13135"/>
    <cellWatch r="G13136"/>
    <cellWatch r="G13137"/>
    <cellWatch r="G13138"/>
    <cellWatch r="G13139"/>
    <cellWatch r="G13140"/>
    <cellWatch r="G13141"/>
    <cellWatch r="G13142"/>
    <cellWatch r="G13143"/>
    <cellWatch r="G13144"/>
    <cellWatch r="G13145"/>
    <cellWatch r="G13146"/>
    <cellWatch r="G13147"/>
    <cellWatch r="G13148"/>
    <cellWatch r="G13149"/>
    <cellWatch r="G13150"/>
    <cellWatch r="G13151"/>
    <cellWatch r="G13152"/>
    <cellWatch r="G13153"/>
    <cellWatch r="G13154"/>
    <cellWatch r="G13155"/>
    <cellWatch r="G13156"/>
    <cellWatch r="G13157"/>
    <cellWatch r="G13158"/>
    <cellWatch r="G13159"/>
    <cellWatch r="G13160"/>
    <cellWatch r="G13161"/>
    <cellWatch r="G13162"/>
    <cellWatch r="G13163"/>
    <cellWatch r="G13164"/>
    <cellWatch r="G13165"/>
    <cellWatch r="G13166"/>
    <cellWatch r="G13167"/>
    <cellWatch r="G13168"/>
    <cellWatch r="G13169"/>
    <cellWatch r="G13170"/>
    <cellWatch r="G13171"/>
    <cellWatch r="G13172"/>
    <cellWatch r="G13173"/>
    <cellWatch r="G13174"/>
    <cellWatch r="G13175"/>
    <cellWatch r="G13176"/>
    <cellWatch r="G13177"/>
    <cellWatch r="G13178"/>
    <cellWatch r="G13179"/>
    <cellWatch r="G13180"/>
    <cellWatch r="G13181"/>
    <cellWatch r="G13182"/>
    <cellWatch r="G13183"/>
    <cellWatch r="G13184"/>
    <cellWatch r="G13185"/>
    <cellWatch r="G13186"/>
    <cellWatch r="G13187"/>
    <cellWatch r="G13188"/>
    <cellWatch r="G13189"/>
    <cellWatch r="G13190"/>
    <cellWatch r="G13191"/>
    <cellWatch r="G13192"/>
    <cellWatch r="G13193"/>
    <cellWatch r="G13194"/>
    <cellWatch r="G13195"/>
    <cellWatch r="G13196"/>
    <cellWatch r="G13197"/>
    <cellWatch r="G13198"/>
    <cellWatch r="G13199"/>
    <cellWatch r="G13200"/>
    <cellWatch r="G13201"/>
    <cellWatch r="G13202"/>
    <cellWatch r="G13203"/>
    <cellWatch r="G13204"/>
    <cellWatch r="G13205"/>
    <cellWatch r="G13206"/>
    <cellWatch r="G13207"/>
    <cellWatch r="G13208"/>
    <cellWatch r="G13209"/>
    <cellWatch r="G13210"/>
    <cellWatch r="G13211"/>
    <cellWatch r="G13212"/>
    <cellWatch r="G13213"/>
    <cellWatch r="G13214"/>
    <cellWatch r="G13215"/>
    <cellWatch r="G13216"/>
    <cellWatch r="G13217"/>
    <cellWatch r="G13218"/>
    <cellWatch r="G13219"/>
    <cellWatch r="G13220"/>
    <cellWatch r="G13221"/>
    <cellWatch r="G13222"/>
    <cellWatch r="G13223"/>
    <cellWatch r="G13224"/>
    <cellWatch r="G13225"/>
    <cellWatch r="G13226"/>
    <cellWatch r="G13227"/>
    <cellWatch r="G13228"/>
    <cellWatch r="G13229"/>
    <cellWatch r="G13230"/>
    <cellWatch r="G13231"/>
    <cellWatch r="G13232"/>
    <cellWatch r="G13233"/>
    <cellWatch r="G13234"/>
    <cellWatch r="G13235"/>
    <cellWatch r="G13236"/>
    <cellWatch r="G13237"/>
    <cellWatch r="G13238"/>
    <cellWatch r="G13239"/>
    <cellWatch r="G13240"/>
    <cellWatch r="G13241"/>
    <cellWatch r="G13242"/>
    <cellWatch r="G13243"/>
    <cellWatch r="G13244"/>
    <cellWatch r="G13245"/>
    <cellWatch r="G13246"/>
    <cellWatch r="G13247"/>
    <cellWatch r="G13248"/>
    <cellWatch r="G13249"/>
    <cellWatch r="G13250"/>
    <cellWatch r="G13251"/>
    <cellWatch r="G13252"/>
    <cellWatch r="G13253"/>
    <cellWatch r="G13254"/>
    <cellWatch r="G13255"/>
    <cellWatch r="G13256"/>
    <cellWatch r="G13257"/>
    <cellWatch r="G13258"/>
    <cellWatch r="G13259"/>
    <cellWatch r="G13260"/>
    <cellWatch r="G13261"/>
    <cellWatch r="G13262"/>
    <cellWatch r="G13263"/>
    <cellWatch r="G13264"/>
    <cellWatch r="G13265"/>
    <cellWatch r="G13266"/>
    <cellWatch r="G13267"/>
    <cellWatch r="G13268"/>
    <cellWatch r="G13269"/>
    <cellWatch r="G13270"/>
    <cellWatch r="G13271"/>
    <cellWatch r="G13272"/>
    <cellWatch r="G13273"/>
    <cellWatch r="G13274"/>
    <cellWatch r="G13275"/>
    <cellWatch r="G13276"/>
    <cellWatch r="G13277"/>
    <cellWatch r="G13278"/>
    <cellWatch r="G13279"/>
    <cellWatch r="G13280"/>
    <cellWatch r="G13281"/>
    <cellWatch r="G13282"/>
    <cellWatch r="G13283"/>
    <cellWatch r="G13284"/>
    <cellWatch r="G13285"/>
    <cellWatch r="G13286"/>
    <cellWatch r="G13287"/>
    <cellWatch r="G13288"/>
    <cellWatch r="G13289"/>
    <cellWatch r="G13290"/>
    <cellWatch r="G13291"/>
    <cellWatch r="G13292"/>
    <cellWatch r="G13293"/>
    <cellWatch r="G13294"/>
    <cellWatch r="G13295"/>
    <cellWatch r="G13296"/>
    <cellWatch r="G13297"/>
    <cellWatch r="G13298"/>
    <cellWatch r="G13299"/>
    <cellWatch r="G13300"/>
    <cellWatch r="G13301"/>
    <cellWatch r="G13302"/>
    <cellWatch r="G13303"/>
    <cellWatch r="G13304"/>
    <cellWatch r="G13305"/>
    <cellWatch r="G13306"/>
    <cellWatch r="G13307"/>
    <cellWatch r="G13308"/>
    <cellWatch r="G13309"/>
    <cellWatch r="G13310"/>
    <cellWatch r="G13311"/>
    <cellWatch r="G13312"/>
    <cellWatch r="G13313"/>
    <cellWatch r="G13314"/>
    <cellWatch r="G13315"/>
    <cellWatch r="G13316"/>
    <cellWatch r="G13317"/>
    <cellWatch r="G13318"/>
    <cellWatch r="G13319"/>
    <cellWatch r="G13320"/>
    <cellWatch r="G13321"/>
    <cellWatch r="G13322"/>
    <cellWatch r="G13323"/>
    <cellWatch r="G13324"/>
    <cellWatch r="G13325"/>
    <cellWatch r="G13326"/>
    <cellWatch r="G13327"/>
    <cellWatch r="G13328"/>
    <cellWatch r="G13329"/>
    <cellWatch r="G13330"/>
    <cellWatch r="G13331"/>
    <cellWatch r="G13332"/>
    <cellWatch r="G13333"/>
    <cellWatch r="G13334"/>
    <cellWatch r="G13335"/>
    <cellWatch r="G13336"/>
    <cellWatch r="G13337"/>
    <cellWatch r="G13338"/>
    <cellWatch r="G13339"/>
    <cellWatch r="G13340"/>
    <cellWatch r="G13341"/>
    <cellWatch r="G13342"/>
    <cellWatch r="G13343"/>
    <cellWatch r="G13344"/>
    <cellWatch r="G13345"/>
    <cellWatch r="G13346"/>
    <cellWatch r="G13347"/>
    <cellWatch r="G13348"/>
    <cellWatch r="G13349"/>
    <cellWatch r="G13350"/>
    <cellWatch r="G13351"/>
    <cellWatch r="G13352"/>
    <cellWatch r="G13353"/>
    <cellWatch r="G13354"/>
    <cellWatch r="G13355"/>
    <cellWatch r="G13356"/>
    <cellWatch r="G13357"/>
    <cellWatch r="G13358"/>
    <cellWatch r="G13359"/>
    <cellWatch r="G13360"/>
    <cellWatch r="G13361"/>
    <cellWatch r="G13362"/>
    <cellWatch r="G13363"/>
    <cellWatch r="G13364"/>
    <cellWatch r="G13365"/>
    <cellWatch r="G13366"/>
    <cellWatch r="G13367"/>
    <cellWatch r="G13368"/>
    <cellWatch r="G13369"/>
    <cellWatch r="G13370"/>
    <cellWatch r="G13371"/>
    <cellWatch r="G13372"/>
    <cellWatch r="G13373"/>
    <cellWatch r="G13374"/>
    <cellWatch r="G13375"/>
    <cellWatch r="G13376"/>
    <cellWatch r="G13377"/>
    <cellWatch r="G13378"/>
    <cellWatch r="G13379"/>
    <cellWatch r="G13380"/>
    <cellWatch r="G13381"/>
    <cellWatch r="G13382"/>
    <cellWatch r="G13383"/>
    <cellWatch r="G13384"/>
    <cellWatch r="G13385"/>
    <cellWatch r="G13386"/>
    <cellWatch r="G13387"/>
    <cellWatch r="G13388"/>
    <cellWatch r="G13389"/>
    <cellWatch r="G13390"/>
    <cellWatch r="G13391"/>
    <cellWatch r="G13392"/>
    <cellWatch r="G13393"/>
    <cellWatch r="G13394"/>
    <cellWatch r="G13395"/>
    <cellWatch r="G13396"/>
    <cellWatch r="G13397"/>
    <cellWatch r="G13398"/>
    <cellWatch r="G13399"/>
    <cellWatch r="G13400"/>
    <cellWatch r="G13401"/>
    <cellWatch r="G13402"/>
    <cellWatch r="G13403"/>
    <cellWatch r="G13404"/>
    <cellWatch r="G13405"/>
    <cellWatch r="G13406"/>
    <cellWatch r="G13407"/>
    <cellWatch r="G13408"/>
    <cellWatch r="G13409"/>
    <cellWatch r="G13410"/>
    <cellWatch r="G13411"/>
    <cellWatch r="G13412"/>
    <cellWatch r="G13413"/>
    <cellWatch r="G13414"/>
    <cellWatch r="G13415"/>
    <cellWatch r="G13416"/>
    <cellWatch r="G13417"/>
    <cellWatch r="G13418"/>
    <cellWatch r="G13419"/>
    <cellWatch r="G13420"/>
    <cellWatch r="G13421"/>
    <cellWatch r="G13422"/>
    <cellWatch r="G13423"/>
    <cellWatch r="G13424"/>
    <cellWatch r="G13425"/>
    <cellWatch r="G13426"/>
    <cellWatch r="G13427"/>
    <cellWatch r="G13428"/>
    <cellWatch r="G13429"/>
    <cellWatch r="G13430"/>
    <cellWatch r="G13431"/>
    <cellWatch r="G13432"/>
    <cellWatch r="G13433"/>
    <cellWatch r="G13434"/>
    <cellWatch r="G13435"/>
    <cellWatch r="G13436"/>
    <cellWatch r="G13437"/>
    <cellWatch r="G13438"/>
    <cellWatch r="G13439"/>
    <cellWatch r="G13440"/>
    <cellWatch r="G13441"/>
    <cellWatch r="G13442"/>
    <cellWatch r="G13443"/>
    <cellWatch r="G13444"/>
    <cellWatch r="G13445"/>
    <cellWatch r="G13446"/>
    <cellWatch r="G13447"/>
    <cellWatch r="G13448"/>
    <cellWatch r="G13449"/>
    <cellWatch r="G13450"/>
    <cellWatch r="G13451"/>
    <cellWatch r="G13452"/>
    <cellWatch r="G13453"/>
    <cellWatch r="G13454"/>
    <cellWatch r="G13455"/>
    <cellWatch r="G13456"/>
    <cellWatch r="G13457"/>
    <cellWatch r="G13458"/>
    <cellWatch r="G13459"/>
    <cellWatch r="G13460"/>
    <cellWatch r="G13461"/>
    <cellWatch r="G13462"/>
    <cellWatch r="G13463"/>
    <cellWatch r="G13464"/>
    <cellWatch r="G13465"/>
    <cellWatch r="G13466"/>
    <cellWatch r="G13467"/>
    <cellWatch r="G13468"/>
    <cellWatch r="G13469"/>
    <cellWatch r="G13470"/>
    <cellWatch r="G13471"/>
    <cellWatch r="G13472"/>
    <cellWatch r="G13473"/>
    <cellWatch r="G13474"/>
    <cellWatch r="G13475"/>
    <cellWatch r="G13476"/>
    <cellWatch r="G13477"/>
    <cellWatch r="G13478"/>
    <cellWatch r="G13479"/>
    <cellWatch r="G13480"/>
    <cellWatch r="G13481"/>
    <cellWatch r="G13482"/>
    <cellWatch r="G13483"/>
    <cellWatch r="G13484"/>
    <cellWatch r="G13485"/>
    <cellWatch r="G13486"/>
    <cellWatch r="G13487"/>
    <cellWatch r="G13488"/>
    <cellWatch r="G13489"/>
    <cellWatch r="G13490"/>
    <cellWatch r="G13491"/>
    <cellWatch r="G13492"/>
    <cellWatch r="G13493"/>
    <cellWatch r="G13494"/>
    <cellWatch r="G13495"/>
    <cellWatch r="G13496"/>
    <cellWatch r="G13497"/>
    <cellWatch r="G13498"/>
    <cellWatch r="G13499"/>
    <cellWatch r="G13500"/>
    <cellWatch r="G13501"/>
    <cellWatch r="G13502"/>
    <cellWatch r="G13503"/>
    <cellWatch r="G13504"/>
    <cellWatch r="G13505"/>
    <cellWatch r="G13506"/>
    <cellWatch r="G13507"/>
    <cellWatch r="G13508"/>
    <cellWatch r="G13509"/>
    <cellWatch r="G13510"/>
    <cellWatch r="G13511"/>
    <cellWatch r="G13512"/>
    <cellWatch r="G13513"/>
    <cellWatch r="G13514"/>
    <cellWatch r="G13515"/>
    <cellWatch r="G13516"/>
    <cellWatch r="G13517"/>
    <cellWatch r="G13518"/>
    <cellWatch r="G13519"/>
    <cellWatch r="G13520"/>
    <cellWatch r="G13521"/>
    <cellWatch r="G13522"/>
    <cellWatch r="G13523"/>
    <cellWatch r="G13524"/>
    <cellWatch r="G13525"/>
    <cellWatch r="G13526"/>
    <cellWatch r="G13527"/>
    <cellWatch r="G13528"/>
    <cellWatch r="G13529"/>
    <cellWatch r="G13530"/>
    <cellWatch r="G13531"/>
    <cellWatch r="G13532"/>
    <cellWatch r="G13533"/>
    <cellWatch r="G13534"/>
    <cellWatch r="G13535"/>
    <cellWatch r="G13536"/>
    <cellWatch r="G13537"/>
    <cellWatch r="G13538"/>
    <cellWatch r="G13539"/>
    <cellWatch r="G13540"/>
    <cellWatch r="G13541"/>
    <cellWatch r="G13542"/>
    <cellWatch r="G13543"/>
    <cellWatch r="G13544"/>
    <cellWatch r="G13545"/>
    <cellWatch r="G13546"/>
    <cellWatch r="G13547"/>
    <cellWatch r="G13548"/>
    <cellWatch r="G13549"/>
    <cellWatch r="G13550"/>
    <cellWatch r="G13551"/>
    <cellWatch r="G13552"/>
    <cellWatch r="G13553"/>
    <cellWatch r="G13554"/>
    <cellWatch r="G13555"/>
    <cellWatch r="G13556"/>
    <cellWatch r="G13557"/>
    <cellWatch r="G13558"/>
    <cellWatch r="G13559"/>
    <cellWatch r="G13560"/>
    <cellWatch r="G13561"/>
    <cellWatch r="G13562"/>
    <cellWatch r="G13563"/>
    <cellWatch r="G13564"/>
    <cellWatch r="G13565"/>
    <cellWatch r="G13566"/>
    <cellWatch r="G13567"/>
    <cellWatch r="G13568"/>
    <cellWatch r="G13569"/>
    <cellWatch r="G13570"/>
    <cellWatch r="G13571"/>
    <cellWatch r="G13572"/>
    <cellWatch r="G13573"/>
    <cellWatch r="G13574"/>
    <cellWatch r="G13575"/>
    <cellWatch r="G13576"/>
    <cellWatch r="G13577"/>
    <cellWatch r="G13578"/>
    <cellWatch r="G13579"/>
    <cellWatch r="G13580"/>
    <cellWatch r="G13581"/>
    <cellWatch r="G13582"/>
    <cellWatch r="G13583"/>
    <cellWatch r="G13584"/>
    <cellWatch r="G13585"/>
    <cellWatch r="G13586"/>
    <cellWatch r="G13587"/>
    <cellWatch r="G13588"/>
    <cellWatch r="G13589"/>
    <cellWatch r="G13590"/>
    <cellWatch r="G13591"/>
    <cellWatch r="G13592"/>
    <cellWatch r="G13593"/>
    <cellWatch r="G13594"/>
    <cellWatch r="G13595"/>
    <cellWatch r="G13596"/>
    <cellWatch r="G13597"/>
    <cellWatch r="G13598"/>
    <cellWatch r="G13599"/>
    <cellWatch r="G13600"/>
    <cellWatch r="G13601"/>
    <cellWatch r="G13602"/>
    <cellWatch r="G13603"/>
    <cellWatch r="G13604"/>
    <cellWatch r="G13605"/>
    <cellWatch r="G13606"/>
    <cellWatch r="G13607"/>
    <cellWatch r="G13608"/>
    <cellWatch r="G13609"/>
    <cellWatch r="G13610"/>
    <cellWatch r="G13611"/>
    <cellWatch r="G13612"/>
    <cellWatch r="G13613"/>
    <cellWatch r="G13614"/>
    <cellWatch r="G13615"/>
    <cellWatch r="G13616"/>
    <cellWatch r="G13617"/>
    <cellWatch r="G13618"/>
    <cellWatch r="G13619"/>
    <cellWatch r="G13620"/>
    <cellWatch r="G13621"/>
    <cellWatch r="G13622"/>
    <cellWatch r="G13623"/>
    <cellWatch r="G13624"/>
    <cellWatch r="G13625"/>
    <cellWatch r="G13626"/>
    <cellWatch r="G13627"/>
    <cellWatch r="G13628"/>
    <cellWatch r="G13629"/>
    <cellWatch r="G13630"/>
    <cellWatch r="G13631"/>
    <cellWatch r="G13632"/>
    <cellWatch r="G13633"/>
    <cellWatch r="G13634"/>
    <cellWatch r="G13635"/>
    <cellWatch r="G13636"/>
    <cellWatch r="G13637"/>
    <cellWatch r="G13638"/>
    <cellWatch r="G13639"/>
    <cellWatch r="G13640"/>
    <cellWatch r="G13641"/>
    <cellWatch r="G13642"/>
    <cellWatch r="G13643"/>
    <cellWatch r="G13644"/>
    <cellWatch r="G13645"/>
    <cellWatch r="G13646"/>
    <cellWatch r="G13647"/>
    <cellWatch r="G13648"/>
    <cellWatch r="G13649"/>
    <cellWatch r="G13650"/>
    <cellWatch r="G13651"/>
    <cellWatch r="G13652"/>
    <cellWatch r="G13653"/>
    <cellWatch r="G13654"/>
    <cellWatch r="G13655"/>
    <cellWatch r="G13656"/>
    <cellWatch r="G13657"/>
    <cellWatch r="G13658"/>
    <cellWatch r="G13659"/>
    <cellWatch r="G13660"/>
    <cellWatch r="G13661"/>
    <cellWatch r="G13662"/>
    <cellWatch r="G13663"/>
    <cellWatch r="G13664"/>
    <cellWatch r="G13665"/>
    <cellWatch r="G13666"/>
    <cellWatch r="G13667"/>
    <cellWatch r="G13668"/>
    <cellWatch r="G13669"/>
    <cellWatch r="G13670"/>
    <cellWatch r="G13671"/>
    <cellWatch r="G13672"/>
    <cellWatch r="G13673"/>
    <cellWatch r="G13674"/>
    <cellWatch r="G13675"/>
    <cellWatch r="G13676"/>
    <cellWatch r="G13677"/>
    <cellWatch r="G13678"/>
    <cellWatch r="G13679"/>
    <cellWatch r="G13680"/>
    <cellWatch r="G13681"/>
    <cellWatch r="G13682"/>
    <cellWatch r="G13683"/>
    <cellWatch r="G13684"/>
    <cellWatch r="G13685"/>
    <cellWatch r="G13686"/>
    <cellWatch r="G13687"/>
    <cellWatch r="G13688"/>
    <cellWatch r="G13689"/>
    <cellWatch r="G13690"/>
    <cellWatch r="G13691"/>
    <cellWatch r="G13692"/>
    <cellWatch r="G13693"/>
    <cellWatch r="G13694"/>
    <cellWatch r="G13695"/>
    <cellWatch r="G13696"/>
    <cellWatch r="G13697"/>
    <cellWatch r="G13698"/>
    <cellWatch r="G13699"/>
    <cellWatch r="G13700"/>
    <cellWatch r="G13701"/>
    <cellWatch r="G13702"/>
    <cellWatch r="G13703"/>
    <cellWatch r="G13704"/>
    <cellWatch r="G13705"/>
    <cellWatch r="G13706"/>
    <cellWatch r="G13707"/>
    <cellWatch r="G13708"/>
    <cellWatch r="G13709"/>
    <cellWatch r="G13710"/>
    <cellWatch r="G13711"/>
    <cellWatch r="G13712"/>
    <cellWatch r="G13713"/>
    <cellWatch r="G13714"/>
    <cellWatch r="G13715"/>
    <cellWatch r="G13716"/>
    <cellWatch r="G13717"/>
    <cellWatch r="G13718"/>
    <cellWatch r="G13719"/>
    <cellWatch r="G13720"/>
    <cellWatch r="G13721"/>
    <cellWatch r="G13722"/>
    <cellWatch r="G13723"/>
    <cellWatch r="G13724"/>
    <cellWatch r="G13725"/>
    <cellWatch r="G13726"/>
    <cellWatch r="G13727"/>
    <cellWatch r="G13728"/>
    <cellWatch r="G13729"/>
    <cellWatch r="G13730"/>
    <cellWatch r="G13731"/>
    <cellWatch r="G13732"/>
    <cellWatch r="G13733"/>
    <cellWatch r="G13734"/>
    <cellWatch r="G13735"/>
    <cellWatch r="G13736"/>
    <cellWatch r="G13737"/>
    <cellWatch r="G13738"/>
    <cellWatch r="G13739"/>
    <cellWatch r="G13740"/>
    <cellWatch r="G13741"/>
    <cellWatch r="G13742"/>
    <cellWatch r="G13743"/>
    <cellWatch r="G13744"/>
    <cellWatch r="G13745"/>
    <cellWatch r="G13746"/>
    <cellWatch r="G13747"/>
    <cellWatch r="G13748"/>
    <cellWatch r="G13749"/>
    <cellWatch r="G13750"/>
    <cellWatch r="G13751"/>
    <cellWatch r="G13752"/>
    <cellWatch r="G13753"/>
    <cellWatch r="G13754"/>
    <cellWatch r="G13755"/>
    <cellWatch r="G13756"/>
    <cellWatch r="G13757"/>
    <cellWatch r="G13758"/>
    <cellWatch r="G13759"/>
    <cellWatch r="G13760"/>
    <cellWatch r="G13761"/>
    <cellWatch r="G13762"/>
    <cellWatch r="G13763"/>
    <cellWatch r="G13764"/>
    <cellWatch r="G13765"/>
    <cellWatch r="G13766"/>
    <cellWatch r="G13767"/>
    <cellWatch r="G13768"/>
    <cellWatch r="G13769"/>
    <cellWatch r="G13770"/>
    <cellWatch r="G13771"/>
    <cellWatch r="G13772"/>
    <cellWatch r="G13773"/>
    <cellWatch r="G13774"/>
    <cellWatch r="G13775"/>
    <cellWatch r="G13776"/>
    <cellWatch r="G13777"/>
    <cellWatch r="G13778"/>
    <cellWatch r="G13779"/>
    <cellWatch r="G13780"/>
    <cellWatch r="G13781"/>
    <cellWatch r="G13782"/>
    <cellWatch r="G13783"/>
    <cellWatch r="G13784"/>
    <cellWatch r="G13785"/>
    <cellWatch r="G13786"/>
    <cellWatch r="G13787"/>
    <cellWatch r="G13788"/>
    <cellWatch r="G13789"/>
    <cellWatch r="G13790"/>
    <cellWatch r="G13791"/>
    <cellWatch r="G13792"/>
    <cellWatch r="G13793"/>
    <cellWatch r="G13794"/>
    <cellWatch r="G13795"/>
    <cellWatch r="G13796"/>
    <cellWatch r="G13797"/>
    <cellWatch r="G13798"/>
    <cellWatch r="G13799"/>
    <cellWatch r="G13800"/>
    <cellWatch r="G13801"/>
    <cellWatch r="G13802"/>
    <cellWatch r="G13803"/>
    <cellWatch r="G13804"/>
    <cellWatch r="G13805"/>
    <cellWatch r="G13806"/>
    <cellWatch r="G13807"/>
    <cellWatch r="G13808"/>
    <cellWatch r="G13809"/>
    <cellWatch r="G13810"/>
    <cellWatch r="G13811"/>
    <cellWatch r="G13812"/>
    <cellWatch r="G13813"/>
    <cellWatch r="G13814"/>
    <cellWatch r="G13815"/>
    <cellWatch r="G13816"/>
    <cellWatch r="G13817"/>
    <cellWatch r="G13818"/>
    <cellWatch r="G13819"/>
    <cellWatch r="G13820"/>
    <cellWatch r="G13821"/>
    <cellWatch r="G13822"/>
    <cellWatch r="G13823"/>
    <cellWatch r="G13824"/>
    <cellWatch r="G13825"/>
    <cellWatch r="G13826"/>
    <cellWatch r="G13827"/>
    <cellWatch r="G13828"/>
    <cellWatch r="G13829"/>
    <cellWatch r="G13830"/>
    <cellWatch r="G13831"/>
    <cellWatch r="G13832"/>
    <cellWatch r="G13833"/>
    <cellWatch r="G13834"/>
    <cellWatch r="G13835"/>
    <cellWatch r="G13836"/>
    <cellWatch r="G13837"/>
    <cellWatch r="G13838"/>
    <cellWatch r="G13839"/>
    <cellWatch r="G13840"/>
    <cellWatch r="G13841"/>
    <cellWatch r="G13842"/>
    <cellWatch r="G13843"/>
    <cellWatch r="G13844"/>
    <cellWatch r="G13845"/>
    <cellWatch r="G13846"/>
    <cellWatch r="G13847"/>
    <cellWatch r="G13848"/>
    <cellWatch r="G13849"/>
    <cellWatch r="G13850"/>
    <cellWatch r="G13851"/>
    <cellWatch r="G13852"/>
    <cellWatch r="G13853"/>
    <cellWatch r="G13854"/>
    <cellWatch r="G13855"/>
    <cellWatch r="G13856"/>
    <cellWatch r="G13857"/>
    <cellWatch r="G13858"/>
    <cellWatch r="G13859"/>
    <cellWatch r="G13860"/>
    <cellWatch r="G13861"/>
    <cellWatch r="G13862"/>
    <cellWatch r="G13863"/>
    <cellWatch r="G13864"/>
    <cellWatch r="G13865"/>
    <cellWatch r="G13866"/>
    <cellWatch r="G13867"/>
    <cellWatch r="G13868"/>
    <cellWatch r="G13869"/>
    <cellWatch r="G13870"/>
    <cellWatch r="G13871"/>
    <cellWatch r="G13872"/>
    <cellWatch r="G13873"/>
    <cellWatch r="G13874"/>
    <cellWatch r="G13875"/>
    <cellWatch r="G13876"/>
    <cellWatch r="G13877"/>
    <cellWatch r="G13878"/>
    <cellWatch r="G13879"/>
    <cellWatch r="G13880"/>
    <cellWatch r="G13881"/>
    <cellWatch r="G13882"/>
    <cellWatch r="G13883"/>
    <cellWatch r="G13884"/>
    <cellWatch r="G13885"/>
    <cellWatch r="G13886"/>
    <cellWatch r="G13887"/>
    <cellWatch r="G13888"/>
    <cellWatch r="G13889"/>
    <cellWatch r="G13890"/>
    <cellWatch r="G13891"/>
    <cellWatch r="G13892"/>
    <cellWatch r="G13893"/>
    <cellWatch r="G13894"/>
    <cellWatch r="G13895"/>
    <cellWatch r="G13896"/>
    <cellWatch r="G13897"/>
    <cellWatch r="G13898"/>
    <cellWatch r="G13899"/>
    <cellWatch r="G13900"/>
    <cellWatch r="G13901"/>
    <cellWatch r="G13902"/>
    <cellWatch r="G13903"/>
    <cellWatch r="G13904"/>
    <cellWatch r="G13905"/>
    <cellWatch r="G13906"/>
    <cellWatch r="G13907"/>
    <cellWatch r="G13908"/>
    <cellWatch r="G13909"/>
    <cellWatch r="G13910"/>
    <cellWatch r="G13911"/>
    <cellWatch r="G13912"/>
    <cellWatch r="G13913"/>
    <cellWatch r="G13914"/>
    <cellWatch r="G13915"/>
    <cellWatch r="G13916"/>
    <cellWatch r="G13917"/>
    <cellWatch r="G13918"/>
    <cellWatch r="G13919"/>
    <cellWatch r="G13920"/>
    <cellWatch r="G13921"/>
    <cellWatch r="G13922"/>
    <cellWatch r="G13923"/>
    <cellWatch r="G13924"/>
    <cellWatch r="G13925"/>
    <cellWatch r="G13926"/>
    <cellWatch r="G13927"/>
    <cellWatch r="G13928"/>
    <cellWatch r="G13929"/>
    <cellWatch r="G13930"/>
    <cellWatch r="G13931"/>
    <cellWatch r="G13932"/>
    <cellWatch r="G13933"/>
    <cellWatch r="G13934"/>
    <cellWatch r="G13935"/>
    <cellWatch r="G13936"/>
    <cellWatch r="G13937"/>
    <cellWatch r="G13938"/>
    <cellWatch r="G13939"/>
    <cellWatch r="G13940"/>
    <cellWatch r="G13941"/>
    <cellWatch r="G13942"/>
    <cellWatch r="G13943"/>
    <cellWatch r="G13944"/>
    <cellWatch r="G13945"/>
    <cellWatch r="G13946"/>
    <cellWatch r="G13947"/>
    <cellWatch r="G13948"/>
    <cellWatch r="G13949"/>
    <cellWatch r="G13950"/>
    <cellWatch r="G13951"/>
    <cellWatch r="G13952"/>
    <cellWatch r="G13953"/>
    <cellWatch r="G13954"/>
    <cellWatch r="G13955"/>
    <cellWatch r="G13956"/>
    <cellWatch r="G13957"/>
    <cellWatch r="G13958"/>
    <cellWatch r="G13959"/>
    <cellWatch r="G13960"/>
    <cellWatch r="G13961"/>
    <cellWatch r="G13962"/>
    <cellWatch r="G13963"/>
    <cellWatch r="G13964"/>
    <cellWatch r="G13965"/>
    <cellWatch r="G13966"/>
    <cellWatch r="G13967"/>
    <cellWatch r="G13968"/>
    <cellWatch r="G13969"/>
    <cellWatch r="G13970"/>
    <cellWatch r="G13971"/>
    <cellWatch r="G13972"/>
    <cellWatch r="G13973"/>
    <cellWatch r="G13974"/>
    <cellWatch r="G13975"/>
    <cellWatch r="G13976"/>
    <cellWatch r="G13977"/>
    <cellWatch r="G13978"/>
    <cellWatch r="G13979"/>
    <cellWatch r="G13980"/>
    <cellWatch r="G13981"/>
    <cellWatch r="G13982"/>
    <cellWatch r="G13983"/>
    <cellWatch r="G13984"/>
    <cellWatch r="G13985"/>
    <cellWatch r="G13986"/>
    <cellWatch r="G13987"/>
    <cellWatch r="G13988"/>
    <cellWatch r="G13989"/>
    <cellWatch r="G13990"/>
    <cellWatch r="G13991"/>
    <cellWatch r="G13992"/>
    <cellWatch r="G13993"/>
    <cellWatch r="G13994"/>
    <cellWatch r="G13995"/>
    <cellWatch r="G13996"/>
    <cellWatch r="G13997"/>
    <cellWatch r="G13998"/>
    <cellWatch r="G13999"/>
    <cellWatch r="G14000"/>
    <cellWatch r="G14001"/>
    <cellWatch r="G14002"/>
    <cellWatch r="G14003"/>
    <cellWatch r="G14004"/>
    <cellWatch r="G14005"/>
    <cellWatch r="G14006"/>
    <cellWatch r="G14007"/>
    <cellWatch r="G14008"/>
    <cellWatch r="G14009"/>
    <cellWatch r="G14010"/>
    <cellWatch r="G14011"/>
    <cellWatch r="G14012"/>
    <cellWatch r="G14013"/>
    <cellWatch r="G14014"/>
    <cellWatch r="G14015"/>
    <cellWatch r="G14016"/>
    <cellWatch r="G14017"/>
    <cellWatch r="G14018"/>
    <cellWatch r="G14019"/>
    <cellWatch r="G14020"/>
    <cellWatch r="G14021"/>
    <cellWatch r="G14022"/>
    <cellWatch r="G14023"/>
    <cellWatch r="G14024"/>
    <cellWatch r="G14025"/>
    <cellWatch r="G14026"/>
    <cellWatch r="G14027"/>
    <cellWatch r="G14028"/>
    <cellWatch r="G14029"/>
    <cellWatch r="G14030"/>
    <cellWatch r="G14031"/>
    <cellWatch r="G14032"/>
    <cellWatch r="G14033"/>
    <cellWatch r="G14034"/>
    <cellWatch r="G14035"/>
    <cellWatch r="G14036"/>
    <cellWatch r="G14037"/>
    <cellWatch r="G14038"/>
    <cellWatch r="G14039"/>
    <cellWatch r="G14040"/>
    <cellWatch r="G14041"/>
    <cellWatch r="G14042"/>
    <cellWatch r="G14043"/>
    <cellWatch r="G14044"/>
    <cellWatch r="G14045"/>
    <cellWatch r="G14046"/>
    <cellWatch r="G14047"/>
    <cellWatch r="G14048"/>
    <cellWatch r="G14049"/>
    <cellWatch r="G14050"/>
    <cellWatch r="G14051"/>
    <cellWatch r="G14052"/>
    <cellWatch r="G14053"/>
    <cellWatch r="G14054"/>
    <cellWatch r="G14055"/>
    <cellWatch r="G14056"/>
    <cellWatch r="G14057"/>
    <cellWatch r="G14058"/>
    <cellWatch r="G14059"/>
    <cellWatch r="G14060"/>
    <cellWatch r="G14061"/>
    <cellWatch r="G14062"/>
    <cellWatch r="G14063"/>
    <cellWatch r="G14064"/>
    <cellWatch r="G14065"/>
    <cellWatch r="G14066"/>
    <cellWatch r="G14067"/>
    <cellWatch r="G14068"/>
    <cellWatch r="G14069"/>
    <cellWatch r="G14070"/>
    <cellWatch r="G14071"/>
    <cellWatch r="G14072"/>
    <cellWatch r="G14073"/>
    <cellWatch r="G14074"/>
    <cellWatch r="G14075"/>
    <cellWatch r="G14076"/>
    <cellWatch r="G14077"/>
    <cellWatch r="G14078"/>
    <cellWatch r="G14079"/>
    <cellWatch r="G14080"/>
    <cellWatch r="G14081"/>
    <cellWatch r="G14082"/>
    <cellWatch r="G14083"/>
    <cellWatch r="G14084"/>
    <cellWatch r="G14085"/>
    <cellWatch r="G14086"/>
    <cellWatch r="G14087"/>
    <cellWatch r="G14088"/>
    <cellWatch r="G14089"/>
    <cellWatch r="G14090"/>
    <cellWatch r="G14091"/>
    <cellWatch r="G14092"/>
    <cellWatch r="G14093"/>
    <cellWatch r="G14094"/>
    <cellWatch r="G14095"/>
    <cellWatch r="G14096"/>
    <cellWatch r="G14097"/>
    <cellWatch r="G14098"/>
    <cellWatch r="G14099"/>
    <cellWatch r="G14100"/>
    <cellWatch r="G14101"/>
    <cellWatch r="G14102"/>
    <cellWatch r="G14103"/>
    <cellWatch r="G14104"/>
    <cellWatch r="G14105"/>
    <cellWatch r="G14106"/>
    <cellWatch r="G14107"/>
    <cellWatch r="G14108"/>
    <cellWatch r="G14109"/>
    <cellWatch r="G14110"/>
    <cellWatch r="G14111"/>
    <cellWatch r="G14112"/>
    <cellWatch r="G14113"/>
    <cellWatch r="G14114"/>
    <cellWatch r="G14115"/>
    <cellWatch r="G14116"/>
    <cellWatch r="G14117"/>
    <cellWatch r="G14118"/>
    <cellWatch r="G14119"/>
    <cellWatch r="G14120"/>
    <cellWatch r="G14121"/>
    <cellWatch r="G14122"/>
    <cellWatch r="G14123"/>
    <cellWatch r="G14124"/>
    <cellWatch r="G14125"/>
    <cellWatch r="G14126"/>
    <cellWatch r="G14127"/>
    <cellWatch r="G14128"/>
    <cellWatch r="G14129"/>
    <cellWatch r="G14130"/>
    <cellWatch r="G14131"/>
    <cellWatch r="G14132"/>
    <cellWatch r="G14133"/>
    <cellWatch r="G14134"/>
    <cellWatch r="G14135"/>
    <cellWatch r="G14136"/>
    <cellWatch r="G14137"/>
    <cellWatch r="G14138"/>
    <cellWatch r="G14139"/>
    <cellWatch r="G14140"/>
    <cellWatch r="G14141"/>
    <cellWatch r="G14142"/>
    <cellWatch r="G14143"/>
    <cellWatch r="G14144"/>
    <cellWatch r="G14145"/>
    <cellWatch r="G14146"/>
    <cellWatch r="G14147"/>
    <cellWatch r="G14148"/>
    <cellWatch r="G14149"/>
    <cellWatch r="G14150"/>
    <cellWatch r="G14151"/>
    <cellWatch r="G14152"/>
    <cellWatch r="G14153"/>
    <cellWatch r="G14154"/>
    <cellWatch r="G14155"/>
    <cellWatch r="G14156"/>
    <cellWatch r="G14157"/>
    <cellWatch r="G14158"/>
    <cellWatch r="G14159"/>
    <cellWatch r="G14160"/>
    <cellWatch r="G14161"/>
    <cellWatch r="G14162"/>
    <cellWatch r="G14163"/>
    <cellWatch r="G14164"/>
    <cellWatch r="G14165"/>
    <cellWatch r="G14166"/>
    <cellWatch r="G14167"/>
    <cellWatch r="G14168"/>
    <cellWatch r="G14169"/>
    <cellWatch r="G14170"/>
    <cellWatch r="G14171"/>
    <cellWatch r="G14172"/>
    <cellWatch r="G14173"/>
    <cellWatch r="G14174"/>
    <cellWatch r="G14175"/>
    <cellWatch r="G14176"/>
    <cellWatch r="G14177"/>
    <cellWatch r="G14178"/>
    <cellWatch r="G14179"/>
    <cellWatch r="G14180"/>
    <cellWatch r="G14181"/>
    <cellWatch r="G14182"/>
    <cellWatch r="G14183"/>
    <cellWatch r="G14184"/>
    <cellWatch r="G14185"/>
    <cellWatch r="G14186"/>
    <cellWatch r="G14187"/>
    <cellWatch r="G14188"/>
    <cellWatch r="G14189"/>
    <cellWatch r="G14190"/>
    <cellWatch r="G14191"/>
    <cellWatch r="G14192"/>
    <cellWatch r="G14193"/>
    <cellWatch r="G14194"/>
    <cellWatch r="G14195"/>
    <cellWatch r="G14196"/>
    <cellWatch r="G14197"/>
    <cellWatch r="G14198"/>
    <cellWatch r="G14199"/>
    <cellWatch r="G14200"/>
    <cellWatch r="G14201"/>
    <cellWatch r="G14202"/>
    <cellWatch r="G14203"/>
    <cellWatch r="G14204"/>
    <cellWatch r="G14205"/>
    <cellWatch r="G14206"/>
    <cellWatch r="G14207"/>
    <cellWatch r="G14208"/>
    <cellWatch r="G14209"/>
    <cellWatch r="G14210"/>
    <cellWatch r="G14211"/>
    <cellWatch r="G14212"/>
    <cellWatch r="G14213"/>
    <cellWatch r="G14214"/>
    <cellWatch r="G14215"/>
    <cellWatch r="G14216"/>
    <cellWatch r="G14217"/>
    <cellWatch r="G14218"/>
    <cellWatch r="G14219"/>
    <cellWatch r="G14220"/>
    <cellWatch r="G14221"/>
    <cellWatch r="G14222"/>
    <cellWatch r="G14223"/>
    <cellWatch r="G14224"/>
    <cellWatch r="G14225"/>
    <cellWatch r="G14226"/>
    <cellWatch r="G14227"/>
    <cellWatch r="G14228"/>
    <cellWatch r="G14229"/>
    <cellWatch r="G14230"/>
    <cellWatch r="G14231"/>
    <cellWatch r="G14232"/>
    <cellWatch r="G14233"/>
    <cellWatch r="G14234"/>
    <cellWatch r="G14235"/>
    <cellWatch r="G14236"/>
    <cellWatch r="G14237"/>
    <cellWatch r="G14238"/>
    <cellWatch r="G14239"/>
    <cellWatch r="G14240"/>
    <cellWatch r="G14241"/>
    <cellWatch r="G14242"/>
    <cellWatch r="G14243"/>
    <cellWatch r="G14244"/>
    <cellWatch r="G14245"/>
    <cellWatch r="G14246"/>
    <cellWatch r="G14247"/>
    <cellWatch r="G14248"/>
    <cellWatch r="G14249"/>
    <cellWatch r="G14250"/>
    <cellWatch r="G14251"/>
    <cellWatch r="G14252"/>
    <cellWatch r="G14253"/>
    <cellWatch r="G14254"/>
    <cellWatch r="G14255"/>
    <cellWatch r="G14256"/>
    <cellWatch r="G14257"/>
    <cellWatch r="G14258"/>
    <cellWatch r="G14259"/>
    <cellWatch r="G14260"/>
    <cellWatch r="G14261"/>
    <cellWatch r="G14262"/>
    <cellWatch r="G14263"/>
    <cellWatch r="G14264"/>
    <cellWatch r="G14265"/>
    <cellWatch r="G14266"/>
    <cellWatch r="G14267"/>
    <cellWatch r="G14268"/>
    <cellWatch r="G14269"/>
    <cellWatch r="G14270"/>
    <cellWatch r="G14271"/>
    <cellWatch r="G14272"/>
    <cellWatch r="G14273"/>
    <cellWatch r="G14274"/>
    <cellWatch r="G14275"/>
    <cellWatch r="G14276"/>
    <cellWatch r="G14277"/>
    <cellWatch r="G14278"/>
    <cellWatch r="G14279"/>
    <cellWatch r="G14280"/>
    <cellWatch r="G14281"/>
    <cellWatch r="G14282"/>
    <cellWatch r="G14283"/>
    <cellWatch r="G14284"/>
    <cellWatch r="G14285"/>
    <cellWatch r="G14286"/>
    <cellWatch r="G14287"/>
    <cellWatch r="G14288"/>
    <cellWatch r="G14289"/>
    <cellWatch r="G14290"/>
    <cellWatch r="G14291"/>
    <cellWatch r="G14292"/>
    <cellWatch r="G14293"/>
    <cellWatch r="G14294"/>
    <cellWatch r="G14295"/>
    <cellWatch r="G14296"/>
    <cellWatch r="G14297"/>
    <cellWatch r="G14298"/>
    <cellWatch r="G14299"/>
    <cellWatch r="G14300"/>
    <cellWatch r="G14301"/>
    <cellWatch r="G14302"/>
    <cellWatch r="G14303"/>
    <cellWatch r="G14304"/>
    <cellWatch r="G14305"/>
    <cellWatch r="G14306"/>
    <cellWatch r="G14307"/>
    <cellWatch r="G14308"/>
    <cellWatch r="G14309"/>
    <cellWatch r="G14310"/>
    <cellWatch r="G14311"/>
    <cellWatch r="G14312"/>
    <cellWatch r="G14313"/>
    <cellWatch r="G14314"/>
    <cellWatch r="G14315"/>
    <cellWatch r="G14316"/>
    <cellWatch r="G14317"/>
    <cellWatch r="G14318"/>
    <cellWatch r="G14319"/>
    <cellWatch r="G14320"/>
    <cellWatch r="G14321"/>
    <cellWatch r="G14322"/>
    <cellWatch r="G14323"/>
    <cellWatch r="G14324"/>
    <cellWatch r="G14325"/>
    <cellWatch r="G14326"/>
    <cellWatch r="G14327"/>
    <cellWatch r="G14328"/>
    <cellWatch r="G14329"/>
    <cellWatch r="G14330"/>
    <cellWatch r="G14331"/>
    <cellWatch r="G14332"/>
    <cellWatch r="G14333"/>
    <cellWatch r="G14334"/>
    <cellWatch r="G14335"/>
    <cellWatch r="G14336"/>
    <cellWatch r="G14337"/>
    <cellWatch r="G14338"/>
    <cellWatch r="G14339"/>
    <cellWatch r="G14340"/>
    <cellWatch r="G14341"/>
    <cellWatch r="G14342"/>
    <cellWatch r="G14343"/>
    <cellWatch r="G14344"/>
    <cellWatch r="G14345"/>
    <cellWatch r="G14346"/>
    <cellWatch r="G14347"/>
    <cellWatch r="G14348"/>
    <cellWatch r="G14349"/>
    <cellWatch r="G14350"/>
    <cellWatch r="G14351"/>
    <cellWatch r="G14352"/>
    <cellWatch r="G14353"/>
    <cellWatch r="G14354"/>
    <cellWatch r="G14355"/>
    <cellWatch r="G14356"/>
    <cellWatch r="G14357"/>
    <cellWatch r="G14358"/>
    <cellWatch r="G14359"/>
    <cellWatch r="G14360"/>
    <cellWatch r="G14361"/>
    <cellWatch r="G14362"/>
    <cellWatch r="G14363"/>
    <cellWatch r="G14364"/>
    <cellWatch r="G14365"/>
    <cellWatch r="G14366"/>
    <cellWatch r="G14367"/>
    <cellWatch r="G14368"/>
    <cellWatch r="G14369"/>
    <cellWatch r="G14370"/>
    <cellWatch r="G14371"/>
    <cellWatch r="G14372"/>
    <cellWatch r="G14373"/>
    <cellWatch r="G14374"/>
    <cellWatch r="G14375"/>
    <cellWatch r="G14376"/>
    <cellWatch r="G14377"/>
    <cellWatch r="G14378"/>
    <cellWatch r="G14379"/>
    <cellWatch r="G14380"/>
    <cellWatch r="G14381"/>
    <cellWatch r="G14382"/>
    <cellWatch r="G14383"/>
    <cellWatch r="G14384"/>
    <cellWatch r="G14385"/>
    <cellWatch r="G14386"/>
    <cellWatch r="G14387"/>
    <cellWatch r="G14388"/>
    <cellWatch r="G14389"/>
    <cellWatch r="G14390"/>
    <cellWatch r="G14391"/>
    <cellWatch r="G14392"/>
    <cellWatch r="G14393"/>
    <cellWatch r="G14394"/>
    <cellWatch r="G14395"/>
    <cellWatch r="G14396"/>
    <cellWatch r="G14397"/>
    <cellWatch r="G14398"/>
    <cellWatch r="G14399"/>
    <cellWatch r="G14400"/>
    <cellWatch r="G14401"/>
    <cellWatch r="G14402"/>
    <cellWatch r="G14403"/>
    <cellWatch r="G14404"/>
    <cellWatch r="G14405"/>
    <cellWatch r="G14406"/>
    <cellWatch r="G14407"/>
    <cellWatch r="G14408"/>
    <cellWatch r="G14409"/>
    <cellWatch r="G14410"/>
    <cellWatch r="G14411"/>
    <cellWatch r="G14412"/>
    <cellWatch r="G14413"/>
    <cellWatch r="G14414"/>
    <cellWatch r="G14415"/>
    <cellWatch r="G14416"/>
    <cellWatch r="G14417"/>
    <cellWatch r="G14418"/>
    <cellWatch r="G14419"/>
    <cellWatch r="G14420"/>
    <cellWatch r="G14421"/>
    <cellWatch r="G14422"/>
    <cellWatch r="G14423"/>
    <cellWatch r="G14424"/>
    <cellWatch r="G14425"/>
    <cellWatch r="G14426"/>
    <cellWatch r="G14427"/>
    <cellWatch r="G14428"/>
    <cellWatch r="G14429"/>
    <cellWatch r="G14430"/>
    <cellWatch r="G14431"/>
    <cellWatch r="G14432"/>
    <cellWatch r="G14433"/>
    <cellWatch r="G14434"/>
    <cellWatch r="G14435"/>
    <cellWatch r="G14436"/>
    <cellWatch r="G14437"/>
    <cellWatch r="G14438"/>
    <cellWatch r="G14439"/>
    <cellWatch r="G14440"/>
    <cellWatch r="G14441"/>
    <cellWatch r="G14442"/>
    <cellWatch r="G14443"/>
    <cellWatch r="G14444"/>
    <cellWatch r="G14445"/>
    <cellWatch r="G14446"/>
    <cellWatch r="G14447"/>
    <cellWatch r="G14448"/>
    <cellWatch r="G14449"/>
    <cellWatch r="G14450"/>
    <cellWatch r="G14451"/>
    <cellWatch r="G14452"/>
    <cellWatch r="G14453"/>
    <cellWatch r="G14454"/>
    <cellWatch r="G14455"/>
    <cellWatch r="G14456"/>
    <cellWatch r="G14457"/>
    <cellWatch r="G14458"/>
    <cellWatch r="G14459"/>
    <cellWatch r="G14460"/>
    <cellWatch r="G14461"/>
    <cellWatch r="G14462"/>
    <cellWatch r="G14463"/>
    <cellWatch r="G14464"/>
    <cellWatch r="G14465"/>
    <cellWatch r="G14466"/>
    <cellWatch r="G14467"/>
    <cellWatch r="G14468"/>
    <cellWatch r="G14469"/>
    <cellWatch r="G14470"/>
    <cellWatch r="G14471"/>
    <cellWatch r="G14472"/>
    <cellWatch r="G14473"/>
    <cellWatch r="G14474"/>
    <cellWatch r="G14475"/>
    <cellWatch r="G14476"/>
    <cellWatch r="G14477"/>
    <cellWatch r="G14478"/>
    <cellWatch r="G14479"/>
    <cellWatch r="G14480"/>
    <cellWatch r="G14481"/>
    <cellWatch r="G14482"/>
    <cellWatch r="G14483"/>
    <cellWatch r="G14484"/>
    <cellWatch r="G14485"/>
    <cellWatch r="G14486"/>
    <cellWatch r="G14487"/>
    <cellWatch r="G14488"/>
    <cellWatch r="G14489"/>
    <cellWatch r="G14490"/>
    <cellWatch r="G14491"/>
    <cellWatch r="G14492"/>
    <cellWatch r="G14493"/>
    <cellWatch r="G14494"/>
    <cellWatch r="G14495"/>
    <cellWatch r="G14496"/>
    <cellWatch r="G14497"/>
    <cellWatch r="G14498"/>
    <cellWatch r="G14499"/>
    <cellWatch r="G14500"/>
    <cellWatch r="G14501"/>
    <cellWatch r="G14502"/>
    <cellWatch r="G14503"/>
    <cellWatch r="G14504"/>
    <cellWatch r="G14505"/>
    <cellWatch r="G14506"/>
    <cellWatch r="G14507"/>
    <cellWatch r="G14508"/>
    <cellWatch r="G14509"/>
    <cellWatch r="G14510"/>
    <cellWatch r="G14511"/>
    <cellWatch r="G14512"/>
    <cellWatch r="G14513"/>
    <cellWatch r="G14514"/>
    <cellWatch r="G14515"/>
    <cellWatch r="G14516"/>
    <cellWatch r="G14517"/>
    <cellWatch r="G14518"/>
    <cellWatch r="G14519"/>
    <cellWatch r="G14520"/>
    <cellWatch r="G14521"/>
    <cellWatch r="G14522"/>
    <cellWatch r="G14523"/>
    <cellWatch r="G14524"/>
    <cellWatch r="G14525"/>
    <cellWatch r="G14526"/>
    <cellWatch r="G14527"/>
    <cellWatch r="G14528"/>
    <cellWatch r="G14529"/>
    <cellWatch r="G14530"/>
    <cellWatch r="G14531"/>
    <cellWatch r="G14532"/>
    <cellWatch r="G14533"/>
    <cellWatch r="G14534"/>
    <cellWatch r="G14535"/>
    <cellWatch r="G14536"/>
    <cellWatch r="G14537"/>
    <cellWatch r="G14538"/>
    <cellWatch r="G14539"/>
    <cellWatch r="G14540"/>
    <cellWatch r="G14541"/>
    <cellWatch r="G14542"/>
    <cellWatch r="G14543"/>
    <cellWatch r="G14544"/>
    <cellWatch r="G14545"/>
    <cellWatch r="G14546"/>
    <cellWatch r="G14547"/>
    <cellWatch r="G14548"/>
    <cellWatch r="G14549"/>
    <cellWatch r="G14550"/>
    <cellWatch r="G14551"/>
    <cellWatch r="G14552"/>
    <cellWatch r="G14553"/>
    <cellWatch r="G14554"/>
    <cellWatch r="G14555"/>
    <cellWatch r="G14556"/>
    <cellWatch r="G14557"/>
    <cellWatch r="G14558"/>
    <cellWatch r="G14559"/>
    <cellWatch r="G14560"/>
    <cellWatch r="G14561"/>
    <cellWatch r="G14562"/>
    <cellWatch r="G14563"/>
    <cellWatch r="G14564"/>
    <cellWatch r="G14565"/>
    <cellWatch r="G14566"/>
    <cellWatch r="G14567"/>
    <cellWatch r="G14568"/>
    <cellWatch r="G14569"/>
    <cellWatch r="G14570"/>
    <cellWatch r="G14571"/>
    <cellWatch r="G14572"/>
    <cellWatch r="G14573"/>
    <cellWatch r="G14574"/>
    <cellWatch r="G14575"/>
    <cellWatch r="G14576"/>
    <cellWatch r="G14577"/>
    <cellWatch r="G14578"/>
    <cellWatch r="G14579"/>
    <cellWatch r="G14580"/>
    <cellWatch r="G14581"/>
    <cellWatch r="G14582"/>
    <cellWatch r="G14583"/>
    <cellWatch r="G14584"/>
    <cellWatch r="G14585"/>
    <cellWatch r="G14586"/>
    <cellWatch r="G14587"/>
    <cellWatch r="G14588"/>
    <cellWatch r="G14589"/>
    <cellWatch r="G14590"/>
    <cellWatch r="G14591"/>
    <cellWatch r="G14592"/>
    <cellWatch r="G14593"/>
    <cellWatch r="G14594"/>
    <cellWatch r="G14595"/>
    <cellWatch r="G14596"/>
    <cellWatch r="G14597"/>
    <cellWatch r="G14598"/>
    <cellWatch r="G14599"/>
    <cellWatch r="G14600"/>
    <cellWatch r="G14601"/>
    <cellWatch r="G14602"/>
    <cellWatch r="G14603"/>
    <cellWatch r="G14604"/>
    <cellWatch r="G14605"/>
    <cellWatch r="G14606"/>
    <cellWatch r="G14607"/>
    <cellWatch r="G14608"/>
    <cellWatch r="G14609"/>
    <cellWatch r="G14610"/>
    <cellWatch r="G14611"/>
    <cellWatch r="G14612"/>
    <cellWatch r="G14613"/>
    <cellWatch r="G14614"/>
    <cellWatch r="G14615"/>
    <cellWatch r="G14616"/>
    <cellWatch r="G14617"/>
    <cellWatch r="G14618"/>
    <cellWatch r="G14619"/>
    <cellWatch r="G14620"/>
    <cellWatch r="G14621"/>
    <cellWatch r="G14622"/>
    <cellWatch r="G14623"/>
    <cellWatch r="G14624"/>
    <cellWatch r="G14625"/>
    <cellWatch r="G14626"/>
    <cellWatch r="G14627"/>
    <cellWatch r="G14628"/>
    <cellWatch r="G14629"/>
    <cellWatch r="G14630"/>
    <cellWatch r="G14631"/>
    <cellWatch r="G14632"/>
    <cellWatch r="G14633"/>
    <cellWatch r="G14634"/>
    <cellWatch r="G14635"/>
    <cellWatch r="G14636"/>
    <cellWatch r="G14637"/>
    <cellWatch r="G14638"/>
    <cellWatch r="G14639"/>
    <cellWatch r="G14640"/>
    <cellWatch r="G14641"/>
    <cellWatch r="G14642"/>
    <cellWatch r="G14643"/>
    <cellWatch r="G14644"/>
    <cellWatch r="G14645"/>
    <cellWatch r="G14646"/>
    <cellWatch r="G14647"/>
    <cellWatch r="G14648"/>
    <cellWatch r="G14649"/>
    <cellWatch r="G14650"/>
    <cellWatch r="G14651"/>
    <cellWatch r="G14652"/>
    <cellWatch r="G14653"/>
    <cellWatch r="G14654"/>
    <cellWatch r="G14655"/>
    <cellWatch r="G14656"/>
    <cellWatch r="G14657"/>
    <cellWatch r="G14658"/>
    <cellWatch r="G14659"/>
    <cellWatch r="G14660"/>
    <cellWatch r="G14661"/>
    <cellWatch r="G14662"/>
    <cellWatch r="G14663"/>
    <cellWatch r="G14664"/>
    <cellWatch r="G14665"/>
    <cellWatch r="G14666"/>
    <cellWatch r="G14667"/>
    <cellWatch r="G14668"/>
    <cellWatch r="G14669"/>
    <cellWatch r="G14670"/>
    <cellWatch r="G14671"/>
    <cellWatch r="G14672"/>
    <cellWatch r="G14673"/>
    <cellWatch r="G14674"/>
    <cellWatch r="G14675"/>
    <cellWatch r="G14676"/>
    <cellWatch r="G14677"/>
    <cellWatch r="G14678"/>
    <cellWatch r="G14679"/>
    <cellWatch r="G14680"/>
    <cellWatch r="G14681"/>
    <cellWatch r="G14682"/>
    <cellWatch r="G14683"/>
    <cellWatch r="G14684"/>
    <cellWatch r="G14685"/>
    <cellWatch r="G14686"/>
    <cellWatch r="G14687"/>
    <cellWatch r="G14688"/>
    <cellWatch r="G14689"/>
    <cellWatch r="G14690"/>
    <cellWatch r="G14691"/>
    <cellWatch r="G14692"/>
    <cellWatch r="G14693"/>
    <cellWatch r="G14694"/>
    <cellWatch r="G14695"/>
    <cellWatch r="G14696"/>
    <cellWatch r="G14697"/>
    <cellWatch r="G14698"/>
    <cellWatch r="G14699"/>
    <cellWatch r="G14700"/>
    <cellWatch r="G14701"/>
    <cellWatch r="G14702"/>
    <cellWatch r="G14703"/>
    <cellWatch r="G14704"/>
    <cellWatch r="G14705"/>
    <cellWatch r="G14706"/>
    <cellWatch r="G14707"/>
    <cellWatch r="G14708"/>
    <cellWatch r="G14709"/>
    <cellWatch r="G14710"/>
    <cellWatch r="G14711"/>
    <cellWatch r="G14712"/>
    <cellWatch r="G14713"/>
    <cellWatch r="G14714"/>
    <cellWatch r="G14715"/>
    <cellWatch r="G14716"/>
    <cellWatch r="G14717"/>
    <cellWatch r="G14718"/>
    <cellWatch r="G14719"/>
    <cellWatch r="G14720"/>
    <cellWatch r="G14721"/>
    <cellWatch r="G14722"/>
    <cellWatch r="G14723"/>
    <cellWatch r="G14724"/>
    <cellWatch r="G14725"/>
    <cellWatch r="G14726"/>
    <cellWatch r="G14727"/>
    <cellWatch r="G14728"/>
    <cellWatch r="G14729"/>
    <cellWatch r="G14730"/>
    <cellWatch r="G14731"/>
    <cellWatch r="G14732"/>
    <cellWatch r="G14733"/>
    <cellWatch r="G14734"/>
    <cellWatch r="G14735"/>
    <cellWatch r="G14736"/>
    <cellWatch r="G14737"/>
    <cellWatch r="G14738"/>
    <cellWatch r="G14739"/>
    <cellWatch r="G14740"/>
    <cellWatch r="G14741"/>
    <cellWatch r="G14742"/>
    <cellWatch r="G14743"/>
    <cellWatch r="G14744"/>
    <cellWatch r="G14745"/>
    <cellWatch r="G14746"/>
    <cellWatch r="G14747"/>
    <cellWatch r="G14748"/>
    <cellWatch r="G14749"/>
    <cellWatch r="G14750"/>
    <cellWatch r="G14751"/>
    <cellWatch r="G14752"/>
    <cellWatch r="G14753"/>
    <cellWatch r="G14754"/>
    <cellWatch r="G14755"/>
    <cellWatch r="G14756"/>
    <cellWatch r="G14757"/>
    <cellWatch r="G14758"/>
    <cellWatch r="G14759"/>
    <cellWatch r="G14760"/>
    <cellWatch r="G14761"/>
    <cellWatch r="G14762"/>
    <cellWatch r="G14763"/>
    <cellWatch r="G14764"/>
    <cellWatch r="G14765"/>
    <cellWatch r="G14766"/>
    <cellWatch r="G14767"/>
    <cellWatch r="G14768"/>
    <cellWatch r="G14769"/>
    <cellWatch r="G14770"/>
    <cellWatch r="G14771"/>
    <cellWatch r="G14772"/>
    <cellWatch r="G14773"/>
    <cellWatch r="G14774"/>
    <cellWatch r="G14775"/>
    <cellWatch r="G14776"/>
    <cellWatch r="G14777"/>
    <cellWatch r="G14778"/>
    <cellWatch r="G14779"/>
    <cellWatch r="G14780"/>
    <cellWatch r="G14781"/>
    <cellWatch r="G14782"/>
    <cellWatch r="G14783"/>
    <cellWatch r="G14784"/>
    <cellWatch r="G14785"/>
    <cellWatch r="G14786"/>
    <cellWatch r="G14787"/>
    <cellWatch r="G14788"/>
    <cellWatch r="G14789"/>
    <cellWatch r="G14790"/>
    <cellWatch r="G14791"/>
    <cellWatch r="G14792"/>
    <cellWatch r="G14793"/>
    <cellWatch r="G14794"/>
    <cellWatch r="G14795"/>
    <cellWatch r="G14796"/>
    <cellWatch r="G14797"/>
    <cellWatch r="G14798"/>
    <cellWatch r="G14799"/>
    <cellWatch r="G14800"/>
    <cellWatch r="G14801"/>
    <cellWatch r="G14802"/>
    <cellWatch r="G14803"/>
    <cellWatch r="G14804"/>
    <cellWatch r="G14805"/>
    <cellWatch r="G14806"/>
    <cellWatch r="G14807"/>
    <cellWatch r="G14808"/>
    <cellWatch r="G14809"/>
    <cellWatch r="G14810"/>
    <cellWatch r="G14811"/>
    <cellWatch r="G14812"/>
    <cellWatch r="G14813"/>
    <cellWatch r="G14814"/>
    <cellWatch r="G14815"/>
    <cellWatch r="G14816"/>
    <cellWatch r="G14817"/>
    <cellWatch r="G14818"/>
    <cellWatch r="G14819"/>
    <cellWatch r="G14820"/>
    <cellWatch r="G14821"/>
    <cellWatch r="G14822"/>
    <cellWatch r="G14823"/>
    <cellWatch r="G14824"/>
    <cellWatch r="G14825"/>
    <cellWatch r="G14826"/>
    <cellWatch r="G14827"/>
    <cellWatch r="G14828"/>
    <cellWatch r="G14829"/>
    <cellWatch r="G14830"/>
    <cellWatch r="G14831"/>
    <cellWatch r="G14832"/>
    <cellWatch r="G14833"/>
    <cellWatch r="G14834"/>
    <cellWatch r="G14835"/>
    <cellWatch r="G14836"/>
    <cellWatch r="G14837"/>
    <cellWatch r="G14838"/>
    <cellWatch r="G14839"/>
    <cellWatch r="G14840"/>
    <cellWatch r="G14841"/>
    <cellWatch r="G14842"/>
    <cellWatch r="G14843"/>
    <cellWatch r="G14844"/>
    <cellWatch r="G14845"/>
    <cellWatch r="G14846"/>
    <cellWatch r="G14847"/>
    <cellWatch r="G14848"/>
    <cellWatch r="G14849"/>
    <cellWatch r="G14850"/>
    <cellWatch r="G14851"/>
    <cellWatch r="G14852"/>
    <cellWatch r="G14853"/>
    <cellWatch r="G14854"/>
    <cellWatch r="G14855"/>
    <cellWatch r="G14856"/>
    <cellWatch r="G14857"/>
    <cellWatch r="G14858"/>
    <cellWatch r="G14859"/>
    <cellWatch r="G14860"/>
    <cellWatch r="G14861"/>
    <cellWatch r="G14862"/>
    <cellWatch r="G14863"/>
    <cellWatch r="G14864"/>
    <cellWatch r="G14865"/>
    <cellWatch r="G14866"/>
    <cellWatch r="G14867"/>
    <cellWatch r="G14868"/>
    <cellWatch r="G14869"/>
    <cellWatch r="G14870"/>
    <cellWatch r="G14871"/>
    <cellWatch r="G14872"/>
    <cellWatch r="G14873"/>
    <cellWatch r="G14874"/>
    <cellWatch r="G14875"/>
    <cellWatch r="G14876"/>
    <cellWatch r="G14877"/>
    <cellWatch r="G14878"/>
    <cellWatch r="G14879"/>
    <cellWatch r="G14880"/>
    <cellWatch r="G14881"/>
    <cellWatch r="G14882"/>
    <cellWatch r="G14883"/>
    <cellWatch r="G14884"/>
    <cellWatch r="G14885"/>
    <cellWatch r="G14886"/>
    <cellWatch r="G14887"/>
    <cellWatch r="G14888"/>
    <cellWatch r="G14889"/>
    <cellWatch r="G14890"/>
    <cellWatch r="G14891"/>
    <cellWatch r="G14892"/>
    <cellWatch r="G14893"/>
    <cellWatch r="G14894"/>
    <cellWatch r="G14895"/>
    <cellWatch r="G14896"/>
    <cellWatch r="G14897"/>
    <cellWatch r="G14898"/>
    <cellWatch r="G14899"/>
    <cellWatch r="G14900"/>
    <cellWatch r="G14901"/>
    <cellWatch r="G14902"/>
    <cellWatch r="G14903"/>
    <cellWatch r="G14904"/>
    <cellWatch r="G14905"/>
    <cellWatch r="G14906"/>
    <cellWatch r="G14907"/>
    <cellWatch r="G14908"/>
    <cellWatch r="G14909"/>
    <cellWatch r="G14910"/>
    <cellWatch r="G14911"/>
    <cellWatch r="G14912"/>
    <cellWatch r="G14913"/>
    <cellWatch r="G14914"/>
    <cellWatch r="G14915"/>
    <cellWatch r="G14916"/>
    <cellWatch r="G14917"/>
    <cellWatch r="G14918"/>
    <cellWatch r="G14919"/>
    <cellWatch r="G14920"/>
    <cellWatch r="G14921"/>
    <cellWatch r="G14922"/>
    <cellWatch r="G14923"/>
    <cellWatch r="G14924"/>
    <cellWatch r="G14925"/>
    <cellWatch r="G14926"/>
    <cellWatch r="G14927"/>
    <cellWatch r="G14928"/>
    <cellWatch r="G14929"/>
    <cellWatch r="G14930"/>
    <cellWatch r="G14931"/>
    <cellWatch r="G14932"/>
    <cellWatch r="G14933"/>
    <cellWatch r="G14934"/>
    <cellWatch r="G14935"/>
    <cellWatch r="G14936"/>
    <cellWatch r="G14937"/>
    <cellWatch r="G14938"/>
    <cellWatch r="G14939"/>
    <cellWatch r="G14940"/>
    <cellWatch r="G14941"/>
    <cellWatch r="G14942"/>
    <cellWatch r="G14943"/>
    <cellWatch r="G14944"/>
    <cellWatch r="G14945"/>
    <cellWatch r="G14946"/>
    <cellWatch r="G14947"/>
    <cellWatch r="G14948"/>
    <cellWatch r="G14949"/>
    <cellWatch r="G14950"/>
    <cellWatch r="G14951"/>
    <cellWatch r="G14952"/>
    <cellWatch r="G14953"/>
    <cellWatch r="G14954"/>
    <cellWatch r="G14955"/>
    <cellWatch r="G14956"/>
    <cellWatch r="G14957"/>
    <cellWatch r="G14958"/>
    <cellWatch r="G14959"/>
    <cellWatch r="G14960"/>
    <cellWatch r="G14961"/>
    <cellWatch r="G14962"/>
    <cellWatch r="G14963"/>
    <cellWatch r="G14964"/>
    <cellWatch r="G14965"/>
    <cellWatch r="G14966"/>
    <cellWatch r="G14967"/>
    <cellWatch r="G14968"/>
    <cellWatch r="G14969"/>
    <cellWatch r="G14970"/>
    <cellWatch r="G14971"/>
    <cellWatch r="G14972"/>
    <cellWatch r="G14973"/>
    <cellWatch r="G14974"/>
    <cellWatch r="G14975"/>
    <cellWatch r="G14976"/>
    <cellWatch r="G14977"/>
    <cellWatch r="G14978"/>
    <cellWatch r="G14979"/>
    <cellWatch r="G14980"/>
    <cellWatch r="G14981"/>
    <cellWatch r="G14982"/>
    <cellWatch r="G14983"/>
    <cellWatch r="G14984"/>
    <cellWatch r="G14985"/>
    <cellWatch r="G14986"/>
    <cellWatch r="G14987"/>
    <cellWatch r="G14988"/>
    <cellWatch r="G14989"/>
    <cellWatch r="G14990"/>
    <cellWatch r="G14991"/>
    <cellWatch r="G14992"/>
    <cellWatch r="G14993"/>
    <cellWatch r="G14994"/>
    <cellWatch r="G14995"/>
    <cellWatch r="G14996"/>
    <cellWatch r="G14997"/>
    <cellWatch r="G14998"/>
    <cellWatch r="G14999"/>
    <cellWatch r="G15000"/>
    <cellWatch r="G15001"/>
    <cellWatch r="G15002"/>
    <cellWatch r="G15003"/>
    <cellWatch r="G15004"/>
    <cellWatch r="G15005"/>
    <cellWatch r="G15006"/>
    <cellWatch r="G15007"/>
    <cellWatch r="G15008"/>
    <cellWatch r="G15009"/>
    <cellWatch r="G15010"/>
    <cellWatch r="G15011"/>
    <cellWatch r="G15012"/>
    <cellWatch r="G15013"/>
    <cellWatch r="G15014"/>
    <cellWatch r="G15015"/>
    <cellWatch r="G15016"/>
    <cellWatch r="G15017"/>
    <cellWatch r="G15018"/>
    <cellWatch r="G15019"/>
    <cellWatch r="G15020"/>
    <cellWatch r="G15021"/>
    <cellWatch r="G15022"/>
    <cellWatch r="G15023"/>
    <cellWatch r="G15024"/>
    <cellWatch r="G15025"/>
    <cellWatch r="G15026"/>
    <cellWatch r="G15027"/>
    <cellWatch r="G15028"/>
    <cellWatch r="G15029"/>
    <cellWatch r="G15030"/>
    <cellWatch r="G15031"/>
    <cellWatch r="G15032"/>
    <cellWatch r="G15033"/>
    <cellWatch r="G15034"/>
    <cellWatch r="G15035"/>
    <cellWatch r="G15036"/>
    <cellWatch r="G15037"/>
    <cellWatch r="G15038"/>
    <cellWatch r="G15039"/>
    <cellWatch r="G15040"/>
    <cellWatch r="G15041"/>
    <cellWatch r="G15042"/>
    <cellWatch r="G15043"/>
    <cellWatch r="G15044"/>
    <cellWatch r="G15045"/>
    <cellWatch r="G15046"/>
    <cellWatch r="G15047"/>
    <cellWatch r="G15048"/>
    <cellWatch r="G15049"/>
    <cellWatch r="G15050"/>
    <cellWatch r="G15051"/>
    <cellWatch r="G15052"/>
    <cellWatch r="G15053"/>
    <cellWatch r="G15054"/>
    <cellWatch r="G15055"/>
    <cellWatch r="G15056"/>
    <cellWatch r="G15057"/>
    <cellWatch r="G15058"/>
    <cellWatch r="G15059"/>
    <cellWatch r="G15060"/>
    <cellWatch r="G15061"/>
    <cellWatch r="G15062"/>
    <cellWatch r="G15063"/>
    <cellWatch r="G15064"/>
    <cellWatch r="G15065"/>
    <cellWatch r="G15066"/>
    <cellWatch r="G15067"/>
    <cellWatch r="G15068"/>
    <cellWatch r="G15069"/>
    <cellWatch r="G15070"/>
    <cellWatch r="G15071"/>
    <cellWatch r="G15072"/>
    <cellWatch r="G15073"/>
    <cellWatch r="G15074"/>
    <cellWatch r="G15075"/>
    <cellWatch r="G15076"/>
    <cellWatch r="G15077"/>
    <cellWatch r="G15078"/>
    <cellWatch r="G15079"/>
    <cellWatch r="G15080"/>
    <cellWatch r="G15081"/>
    <cellWatch r="G15082"/>
    <cellWatch r="G15083"/>
    <cellWatch r="G15084"/>
    <cellWatch r="G15085"/>
    <cellWatch r="G15086"/>
    <cellWatch r="G15087"/>
    <cellWatch r="G15088"/>
    <cellWatch r="G15089"/>
    <cellWatch r="G15090"/>
    <cellWatch r="G15091"/>
    <cellWatch r="G15092"/>
    <cellWatch r="G15093"/>
    <cellWatch r="G15094"/>
    <cellWatch r="G15095"/>
    <cellWatch r="G15096"/>
    <cellWatch r="G15097"/>
    <cellWatch r="G15098"/>
    <cellWatch r="G15099"/>
    <cellWatch r="G15100"/>
    <cellWatch r="G15101"/>
    <cellWatch r="G15102"/>
    <cellWatch r="G15103"/>
    <cellWatch r="G15104"/>
    <cellWatch r="G15105"/>
    <cellWatch r="G15106"/>
    <cellWatch r="G15107"/>
    <cellWatch r="G15108"/>
    <cellWatch r="G15109"/>
    <cellWatch r="G15110"/>
    <cellWatch r="G15111"/>
    <cellWatch r="G15112"/>
    <cellWatch r="G15113"/>
    <cellWatch r="G15114"/>
    <cellWatch r="G15115"/>
    <cellWatch r="G15116"/>
    <cellWatch r="G15117"/>
    <cellWatch r="G15118"/>
    <cellWatch r="G15119"/>
    <cellWatch r="G15120"/>
    <cellWatch r="G15121"/>
    <cellWatch r="G15122"/>
    <cellWatch r="G15123"/>
    <cellWatch r="G15124"/>
    <cellWatch r="G15125"/>
    <cellWatch r="G15126"/>
    <cellWatch r="G15127"/>
    <cellWatch r="G15128"/>
    <cellWatch r="G15129"/>
    <cellWatch r="G15130"/>
    <cellWatch r="G15131"/>
    <cellWatch r="G15132"/>
    <cellWatch r="G15133"/>
    <cellWatch r="G15134"/>
    <cellWatch r="G15135"/>
    <cellWatch r="G15136"/>
    <cellWatch r="G15137"/>
    <cellWatch r="G15138"/>
    <cellWatch r="G15139"/>
    <cellWatch r="G15140"/>
    <cellWatch r="G15141"/>
    <cellWatch r="G15142"/>
    <cellWatch r="G15143"/>
    <cellWatch r="G15144"/>
    <cellWatch r="G15145"/>
    <cellWatch r="G15146"/>
    <cellWatch r="G15147"/>
    <cellWatch r="G15148"/>
    <cellWatch r="G15149"/>
    <cellWatch r="G15150"/>
    <cellWatch r="G15151"/>
    <cellWatch r="G15152"/>
    <cellWatch r="G15153"/>
    <cellWatch r="G15154"/>
    <cellWatch r="G15155"/>
    <cellWatch r="G15156"/>
    <cellWatch r="G15157"/>
    <cellWatch r="G15158"/>
    <cellWatch r="G15159"/>
    <cellWatch r="G15160"/>
    <cellWatch r="G15161"/>
    <cellWatch r="G15162"/>
    <cellWatch r="G15163"/>
    <cellWatch r="G15164"/>
    <cellWatch r="G15165"/>
    <cellWatch r="G15166"/>
    <cellWatch r="G15167"/>
    <cellWatch r="G15168"/>
    <cellWatch r="G15169"/>
    <cellWatch r="G15170"/>
    <cellWatch r="G15171"/>
    <cellWatch r="G15172"/>
    <cellWatch r="G15173"/>
    <cellWatch r="G15174"/>
    <cellWatch r="G15175"/>
    <cellWatch r="G15176"/>
    <cellWatch r="G15177"/>
    <cellWatch r="G15178"/>
    <cellWatch r="G15179"/>
    <cellWatch r="G15180"/>
    <cellWatch r="G15181"/>
    <cellWatch r="G15182"/>
    <cellWatch r="G15183"/>
    <cellWatch r="G15184"/>
    <cellWatch r="G15185"/>
    <cellWatch r="G15186"/>
    <cellWatch r="G15187"/>
    <cellWatch r="G15188"/>
    <cellWatch r="G15189"/>
    <cellWatch r="G15190"/>
    <cellWatch r="G15191"/>
    <cellWatch r="G15192"/>
    <cellWatch r="G15193"/>
    <cellWatch r="G15194"/>
    <cellWatch r="G15195"/>
    <cellWatch r="G15196"/>
    <cellWatch r="G15197"/>
    <cellWatch r="G15198"/>
    <cellWatch r="G15199"/>
    <cellWatch r="G15200"/>
    <cellWatch r="G15201"/>
    <cellWatch r="G15202"/>
    <cellWatch r="G15203"/>
    <cellWatch r="G15204"/>
    <cellWatch r="G15205"/>
    <cellWatch r="G15206"/>
    <cellWatch r="G15207"/>
    <cellWatch r="G15208"/>
    <cellWatch r="G15209"/>
    <cellWatch r="G15210"/>
    <cellWatch r="G15211"/>
    <cellWatch r="G15212"/>
    <cellWatch r="G15213"/>
    <cellWatch r="G15214"/>
    <cellWatch r="G15215"/>
    <cellWatch r="G15216"/>
    <cellWatch r="G15217"/>
    <cellWatch r="G15218"/>
    <cellWatch r="G15219"/>
    <cellWatch r="G15220"/>
    <cellWatch r="G15221"/>
    <cellWatch r="G15222"/>
    <cellWatch r="G15223"/>
    <cellWatch r="G15224"/>
    <cellWatch r="G15225"/>
    <cellWatch r="G15226"/>
    <cellWatch r="G15227"/>
    <cellWatch r="G15228"/>
    <cellWatch r="G15229"/>
    <cellWatch r="G15230"/>
    <cellWatch r="G15231"/>
    <cellWatch r="G15232"/>
    <cellWatch r="G15233"/>
    <cellWatch r="G15234"/>
    <cellWatch r="G15235"/>
    <cellWatch r="G15236"/>
    <cellWatch r="G15237"/>
    <cellWatch r="G15238"/>
    <cellWatch r="G15239"/>
    <cellWatch r="G15240"/>
    <cellWatch r="G15241"/>
    <cellWatch r="G15242"/>
    <cellWatch r="G15243"/>
    <cellWatch r="G15244"/>
    <cellWatch r="G15245"/>
    <cellWatch r="G15246"/>
    <cellWatch r="G15247"/>
    <cellWatch r="G15248"/>
    <cellWatch r="G15249"/>
    <cellWatch r="G15250"/>
    <cellWatch r="G15251"/>
    <cellWatch r="G15252"/>
    <cellWatch r="G15253"/>
    <cellWatch r="G15254"/>
    <cellWatch r="G15255"/>
    <cellWatch r="G15256"/>
    <cellWatch r="G15257"/>
    <cellWatch r="G15258"/>
    <cellWatch r="G15259"/>
    <cellWatch r="G15260"/>
    <cellWatch r="G15261"/>
    <cellWatch r="G15262"/>
    <cellWatch r="G15263"/>
    <cellWatch r="G15264"/>
    <cellWatch r="G15265"/>
    <cellWatch r="G15266"/>
    <cellWatch r="G15267"/>
    <cellWatch r="G15268"/>
    <cellWatch r="G15269"/>
    <cellWatch r="G15270"/>
    <cellWatch r="G15271"/>
    <cellWatch r="G15272"/>
    <cellWatch r="G15273"/>
    <cellWatch r="G15274"/>
    <cellWatch r="G15275"/>
    <cellWatch r="G15276"/>
    <cellWatch r="G15277"/>
    <cellWatch r="G15278"/>
    <cellWatch r="G15279"/>
    <cellWatch r="G15280"/>
    <cellWatch r="G15281"/>
    <cellWatch r="G15282"/>
    <cellWatch r="G15283"/>
    <cellWatch r="G15284"/>
    <cellWatch r="G15285"/>
    <cellWatch r="G15286"/>
    <cellWatch r="G15287"/>
    <cellWatch r="G15288"/>
    <cellWatch r="G15289"/>
    <cellWatch r="G15290"/>
    <cellWatch r="G15291"/>
    <cellWatch r="G15292"/>
    <cellWatch r="G15293"/>
    <cellWatch r="G15294"/>
    <cellWatch r="G15295"/>
    <cellWatch r="G15296"/>
    <cellWatch r="G15297"/>
    <cellWatch r="G15298"/>
    <cellWatch r="G15299"/>
    <cellWatch r="G15300"/>
    <cellWatch r="G15301"/>
    <cellWatch r="G15302"/>
    <cellWatch r="G15303"/>
    <cellWatch r="G15304"/>
    <cellWatch r="G15305"/>
    <cellWatch r="G15306"/>
    <cellWatch r="G15307"/>
    <cellWatch r="G15308"/>
    <cellWatch r="G15309"/>
    <cellWatch r="G15310"/>
    <cellWatch r="G15311"/>
    <cellWatch r="G15312"/>
    <cellWatch r="G15313"/>
    <cellWatch r="G15314"/>
    <cellWatch r="G15315"/>
    <cellWatch r="G15316"/>
    <cellWatch r="G15317"/>
    <cellWatch r="G15318"/>
    <cellWatch r="G15319"/>
    <cellWatch r="G15320"/>
    <cellWatch r="G15321"/>
    <cellWatch r="G15322"/>
    <cellWatch r="G15323"/>
    <cellWatch r="G15324"/>
    <cellWatch r="G15325"/>
    <cellWatch r="G15326"/>
    <cellWatch r="G15327"/>
    <cellWatch r="G15328"/>
    <cellWatch r="G15329"/>
    <cellWatch r="G15330"/>
    <cellWatch r="G15331"/>
    <cellWatch r="G15332"/>
    <cellWatch r="G15333"/>
    <cellWatch r="G15334"/>
    <cellWatch r="G15335"/>
    <cellWatch r="G15336"/>
    <cellWatch r="G15337"/>
    <cellWatch r="G15338"/>
    <cellWatch r="G15339"/>
    <cellWatch r="G15340"/>
    <cellWatch r="G15341"/>
    <cellWatch r="G15342"/>
    <cellWatch r="G15343"/>
    <cellWatch r="G15344"/>
    <cellWatch r="G15345"/>
    <cellWatch r="G15346"/>
    <cellWatch r="G15347"/>
    <cellWatch r="G15348"/>
    <cellWatch r="G15349"/>
    <cellWatch r="G15350"/>
    <cellWatch r="G15351"/>
    <cellWatch r="G15352"/>
    <cellWatch r="G15353"/>
    <cellWatch r="G15354"/>
    <cellWatch r="G15355"/>
    <cellWatch r="G15356"/>
    <cellWatch r="G15357"/>
    <cellWatch r="G15358"/>
    <cellWatch r="G15359"/>
    <cellWatch r="G15360"/>
    <cellWatch r="G15361"/>
    <cellWatch r="G15362"/>
    <cellWatch r="G15363"/>
    <cellWatch r="G15364"/>
    <cellWatch r="G15365"/>
    <cellWatch r="G15366"/>
    <cellWatch r="G15367"/>
    <cellWatch r="G15368"/>
    <cellWatch r="G15369"/>
    <cellWatch r="G15370"/>
    <cellWatch r="G15371"/>
    <cellWatch r="G15372"/>
    <cellWatch r="G15373"/>
    <cellWatch r="G15374"/>
    <cellWatch r="G15375"/>
    <cellWatch r="G15376"/>
    <cellWatch r="G15377"/>
    <cellWatch r="G15378"/>
    <cellWatch r="G15379"/>
    <cellWatch r="G15380"/>
    <cellWatch r="G15381"/>
    <cellWatch r="G15382"/>
    <cellWatch r="G15383"/>
    <cellWatch r="G15384"/>
    <cellWatch r="G15385"/>
    <cellWatch r="G15386"/>
    <cellWatch r="G15387"/>
    <cellWatch r="G15388"/>
    <cellWatch r="G15389"/>
    <cellWatch r="G15390"/>
    <cellWatch r="G15391"/>
    <cellWatch r="G15392"/>
    <cellWatch r="G15393"/>
    <cellWatch r="G15394"/>
    <cellWatch r="G15395"/>
    <cellWatch r="G15396"/>
    <cellWatch r="G15397"/>
    <cellWatch r="G15398"/>
    <cellWatch r="G15399"/>
    <cellWatch r="G15400"/>
    <cellWatch r="G15401"/>
    <cellWatch r="G15402"/>
    <cellWatch r="G15403"/>
    <cellWatch r="G15404"/>
    <cellWatch r="G15405"/>
    <cellWatch r="G15406"/>
    <cellWatch r="G15407"/>
    <cellWatch r="G15408"/>
    <cellWatch r="G15409"/>
    <cellWatch r="G15410"/>
    <cellWatch r="G15411"/>
    <cellWatch r="G15412"/>
    <cellWatch r="G15413"/>
    <cellWatch r="G15414"/>
    <cellWatch r="G15415"/>
    <cellWatch r="G15416"/>
    <cellWatch r="G15417"/>
    <cellWatch r="G15418"/>
    <cellWatch r="G15419"/>
    <cellWatch r="G15420"/>
    <cellWatch r="G15421"/>
    <cellWatch r="G15422"/>
    <cellWatch r="G15423"/>
    <cellWatch r="G15424"/>
    <cellWatch r="G15425"/>
    <cellWatch r="G15426"/>
    <cellWatch r="G15427"/>
    <cellWatch r="G15428"/>
    <cellWatch r="G15429"/>
    <cellWatch r="G15430"/>
    <cellWatch r="G15431"/>
    <cellWatch r="G15432"/>
    <cellWatch r="G15433"/>
    <cellWatch r="G15434"/>
    <cellWatch r="G15435"/>
    <cellWatch r="G15436"/>
    <cellWatch r="G15437"/>
    <cellWatch r="G15438"/>
    <cellWatch r="G15439"/>
    <cellWatch r="G15440"/>
    <cellWatch r="G15441"/>
    <cellWatch r="G15442"/>
    <cellWatch r="G15443"/>
    <cellWatch r="G15444"/>
    <cellWatch r="G15445"/>
    <cellWatch r="G15446"/>
    <cellWatch r="G15447"/>
    <cellWatch r="G15448"/>
    <cellWatch r="G15449"/>
    <cellWatch r="G15450"/>
    <cellWatch r="G15451"/>
    <cellWatch r="G15452"/>
    <cellWatch r="G15453"/>
    <cellWatch r="G15454"/>
    <cellWatch r="G15455"/>
    <cellWatch r="G15456"/>
    <cellWatch r="G15457"/>
    <cellWatch r="G15458"/>
    <cellWatch r="G15459"/>
    <cellWatch r="G15460"/>
    <cellWatch r="G15461"/>
    <cellWatch r="G15462"/>
    <cellWatch r="G15463"/>
    <cellWatch r="G15464"/>
    <cellWatch r="G15465"/>
    <cellWatch r="G15466"/>
    <cellWatch r="G15467"/>
    <cellWatch r="G15468"/>
    <cellWatch r="G15469"/>
    <cellWatch r="G15470"/>
    <cellWatch r="G15471"/>
    <cellWatch r="G15472"/>
    <cellWatch r="G15473"/>
    <cellWatch r="G15474"/>
    <cellWatch r="G15475"/>
    <cellWatch r="G15476"/>
    <cellWatch r="G15477"/>
    <cellWatch r="G15478"/>
    <cellWatch r="G15479"/>
    <cellWatch r="G15480"/>
    <cellWatch r="G15481"/>
    <cellWatch r="G15482"/>
    <cellWatch r="G15483"/>
    <cellWatch r="G15484"/>
    <cellWatch r="G15485"/>
    <cellWatch r="G15486"/>
    <cellWatch r="G15487"/>
    <cellWatch r="G15488"/>
    <cellWatch r="G15489"/>
    <cellWatch r="G15490"/>
    <cellWatch r="G15491"/>
    <cellWatch r="G15492"/>
    <cellWatch r="G15493"/>
    <cellWatch r="G15494"/>
    <cellWatch r="G15495"/>
    <cellWatch r="G15496"/>
    <cellWatch r="G15497"/>
    <cellWatch r="G15498"/>
    <cellWatch r="G15499"/>
    <cellWatch r="G15500"/>
    <cellWatch r="G15501"/>
    <cellWatch r="G15502"/>
    <cellWatch r="G15503"/>
    <cellWatch r="G15504"/>
    <cellWatch r="G15505"/>
    <cellWatch r="G15506"/>
    <cellWatch r="G15507"/>
    <cellWatch r="G15508"/>
    <cellWatch r="G15509"/>
    <cellWatch r="G15510"/>
    <cellWatch r="G15511"/>
    <cellWatch r="G15512"/>
    <cellWatch r="G15513"/>
    <cellWatch r="G15514"/>
    <cellWatch r="G15515"/>
    <cellWatch r="G15516"/>
    <cellWatch r="G15517"/>
    <cellWatch r="G15518"/>
    <cellWatch r="G15519"/>
    <cellWatch r="G15520"/>
    <cellWatch r="G15521"/>
    <cellWatch r="G15522"/>
    <cellWatch r="G15523"/>
    <cellWatch r="G15524"/>
    <cellWatch r="G15525"/>
    <cellWatch r="G15526"/>
    <cellWatch r="G15527"/>
    <cellWatch r="G15528"/>
    <cellWatch r="G15529"/>
    <cellWatch r="G15530"/>
    <cellWatch r="G15531"/>
    <cellWatch r="G15532"/>
    <cellWatch r="G15533"/>
    <cellWatch r="G15534"/>
    <cellWatch r="G15535"/>
    <cellWatch r="G15536"/>
    <cellWatch r="G15537"/>
    <cellWatch r="G15538"/>
    <cellWatch r="G15539"/>
    <cellWatch r="G15540"/>
    <cellWatch r="G15541"/>
    <cellWatch r="G15542"/>
    <cellWatch r="G15543"/>
    <cellWatch r="G15544"/>
    <cellWatch r="G15545"/>
    <cellWatch r="G15546"/>
    <cellWatch r="G15547"/>
    <cellWatch r="G15548"/>
    <cellWatch r="G15549"/>
    <cellWatch r="G15550"/>
    <cellWatch r="G15551"/>
    <cellWatch r="G15552"/>
    <cellWatch r="G15553"/>
    <cellWatch r="G15554"/>
    <cellWatch r="G15555"/>
    <cellWatch r="G15556"/>
    <cellWatch r="G15557"/>
    <cellWatch r="G15558"/>
    <cellWatch r="G15559"/>
    <cellWatch r="G15560"/>
    <cellWatch r="G15561"/>
    <cellWatch r="G15562"/>
    <cellWatch r="G15563"/>
    <cellWatch r="G15564"/>
    <cellWatch r="G15565"/>
    <cellWatch r="G15566"/>
    <cellWatch r="G15567"/>
    <cellWatch r="G15568"/>
    <cellWatch r="G15569"/>
    <cellWatch r="G15570"/>
    <cellWatch r="G15571"/>
    <cellWatch r="G15572"/>
    <cellWatch r="G15573"/>
    <cellWatch r="G15574"/>
    <cellWatch r="G15575"/>
    <cellWatch r="G15576"/>
    <cellWatch r="G15577"/>
    <cellWatch r="G15578"/>
    <cellWatch r="G15579"/>
    <cellWatch r="G15580"/>
    <cellWatch r="G15581"/>
    <cellWatch r="G15582"/>
    <cellWatch r="G15583"/>
    <cellWatch r="G15584"/>
    <cellWatch r="G15585"/>
    <cellWatch r="G15586"/>
    <cellWatch r="G15587"/>
    <cellWatch r="G15588"/>
    <cellWatch r="G15589"/>
    <cellWatch r="G15590"/>
    <cellWatch r="G15591"/>
    <cellWatch r="G15592"/>
    <cellWatch r="G15593"/>
    <cellWatch r="G15594"/>
    <cellWatch r="G15595"/>
    <cellWatch r="G15596"/>
    <cellWatch r="G15597"/>
    <cellWatch r="G15598"/>
    <cellWatch r="G15599"/>
    <cellWatch r="G15600"/>
    <cellWatch r="G15601"/>
    <cellWatch r="G15602"/>
    <cellWatch r="G15603"/>
    <cellWatch r="G15604"/>
    <cellWatch r="G15605"/>
    <cellWatch r="G15606"/>
    <cellWatch r="G15607"/>
    <cellWatch r="G15608"/>
    <cellWatch r="G15609"/>
    <cellWatch r="G15610"/>
    <cellWatch r="G15611"/>
    <cellWatch r="G15612"/>
    <cellWatch r="G15613"/>
    <cellWatch r="G15614"/>
    <cellWatch r="G15615"/>
    <cellWatch r="G15616"/>
    <cellWatch r="G15617"/>
    <cellWatch r="G15618"/>
    <cellWatch r="G15619"/>
    <cellWatch r="G15620"/>
    <cellWatch r="G15621"/>
    <cellWatch r="G15622"/>
    <cellWatch r="G15623"/>
    <cellWatch r="G15624"/>
    <cellWatch r="G15625"/>
    <cellWatch r="G15626"/>
    <cellWatch r="G15627"/>
    <cellWatch r="G15628"/>
    <cellWatch r="G15629"/>
    <cellWatch r="G15630"/>
    <cellWatch r="G15631"/>
    <cellWatch r="G15632"/>
    <cellWatch r="G15633"/>
    <cellWatch r="G15634"/>
    <cellWatch r="G15635"/>
    <cellWatch r="G15636"/>
    <cellWatch r="G15637"/>
    <cellWatch r="G15638"/>
    <cellWatch r="G15639"/>
    <cellWatch r="G15640"/>
    <cellWatch r="G15641"/>
    <cellWatch r="G15642"/>
    <cellWatch r="G15643"/>
    <cellWatch r="G15644"/>
    <cellWatch r="G15645"/>
    <cellWatch r="G15646"/>
    <cellWatch r="G15647"/>
    <cellWatch r="G15648"/>
    <cellWatch r="G15649"/>
    <cellWatch r="G15650"/>
    <cellWatch r="G15651"/>
    <cellWatch r="G15652"/>
    <cellWatch r="G15653"/>
    <cellWatch r="G15654"/>
    <cellWatch r="G15655"/>
    <cellWatch r="G15656"/>
    <cellWatch r="G15657"/>
    <cellWatch r="G15658"/>
    <cellWatch r="G15659"/>
    <cellWatch r="G15660"/>
    <cellWatch r="G15661"/>
    <cellWatch r="G15662"/>
    <cellWatch r="G15663"/>
    <cellWatch r="G15664"/>
    <cellWatch r="G15665"/>
    <cellWatch r="G15666"/>
    <cellWatch r="G15667"/>
    <cellWatch r="G15668"/>
    <cellWatch r="G15669"/>
    <cellWatch r="G15670"/>
    <cellWatch r="G15671"/>
    <cellWatch r="G15672"/>
    <cellWatch r="G15673"/>
    <cellWatch r="G15674"/>
    <cellWatch r="G15675"/>
    <cellWatch r="G15676"/>
    <cellWatch r="G15677"/>
    <cellWatch r="G15678"/>
    <cellWatch r="G15679"/>
    <cellWatch r="G15680"/>
    <cellWatch r="G15681"/>
    <cellWatch r="G15682"/>
    <cellWatch r="G15683"/>
    <cellWatch r="G15684"/>
    <cellWatch r="G15685"/>
    <cellWatch r="G15686"/>
    <cellWatch r="G15687"/>
    <cellWatch r="G15688"/>
    <cellWatch r="G15689"/>
    <cellWatch r="G15690"/>
    <cellWatch r="G15691"/>
    <cellWatch r="G15692"/>
    <cellWatch r="G15693"/>
    <cellWatch r="G15694"/>
    <cellWatch r="G15695"/>
    <cellWatch r="G15696"/>
    <cellWatch r="G15697"/>
    <cellWatch r="G15698"/>
    <cellWatch r="G15699"/>
    <cellWatch r="G15700"/>
    <cellWatch r="G15701"/>
    <cellWatch r="G15702"/>
    <cellWatch r="G15703"/>
    <cellWatch r="G15704"/>
    <cellWatch r="G15705"/>
    <cellWatch r="G15706"/>
    <cellWatch r="G15707"/>
    <cellWatch r="G15708"/>
    <cellWatch r="G15709"/>
    <cellWatch r="G15710"/>
    <cellWatch r="G15711"/>
    <cellWatch r="G15712"/>
    <cellWatch r="G15713"/>
    <cellWatch r="G15714"/>
    <cellWatch r="G15715"/>
    <cellWatch r="G15716"/>
    <cellWatch r="G15717"/>
    <cellWatch r="G15718"/>
    <cellWatch r="G15719"/>
    <cellWatch r="G15720"/>
    <cellWatch r="G15721"/>
    <cellWatch r="G15722"/>
    <cellWatch r="G15723"/>
    <cellWatch r="G15724"/>
    <cellWatch r="G15725"/>
    <cellWatch r="G15726"/>
    <cellWatch r="G15727"/>
    <cellWatch r="G15728"/>
    <cellWatch r="G15729"/>
    <cellWatch r="G15730"/>
    <cellWatch r="G15731"/>
    <cellWatch r="G15732"/>
    <cellWatch r="G15733"/>
    <cellWatch r="G15734"/>
    <cellWatch r="G15735"/>
    <cellWatch r="G15736"/>
    <cellWatch r="G15737"/>
    <cellWatch r="G15738"/>
    <cellWatch r="G15739"/>
    <cellWatch r="G15740"/>
    <cellWatch r="G15741"/>
    <cellWatch r="G15742"/>
    <cellWatch r="G15743"/>
    <cellWatch r="G15744"/>
    <cellWatch r="G15745"/>
    <cellWatch r="G15746"/>
    <cellWatch r="G15747"/>
    <cellWatch r="G15748"/>
    <cellWatch r="G15749"/>
    <cellWatch r="G15750"/>
    <cellWatch r="G15751"/>
    <cellWatch r="G15752"/>
    <cellWatch r="G15753"/>
    <cellWatch r="G15754"/>
    <cellWatch r="G15755"/>
    <cellWatch r="G15756"/>
    <cellWatch r="G15757"/>
    <cellWatch r="G15758"/>
    <cellWatch r="G15759"/>
    <cellWatch r="G15760"/>
    <cellWatch r="G15761"/>
    <cellWatch r="G15762"/>
    <cellWatch r="G15763"/>
    <cellWatch r="G15764"/>
    <cellWatch r="G15765"/>
    <cellWatch r="G15766"/>
    <cellWatch r="G15767"/>
    <cellWatch r="G15768"/>
    <cellWatch r="G15769"/>
    <cellWatch r="G15770"/>
    <cellWatch r="G15771"/>
    <cellWatch r="G15772"/>
    <cellWatch r="G15773"/>
    <cellWatch r="G15774"/>
    <cellWatch r="G15775"/>
    <cellWatch r="G15776"/>
    <cellWatch r="G15777"/>
    <cellWatch r="G15778"/>
    <cellWatch r="G15779"/>
    <cellWatch r="G15780"/>
    <cellWatch r="G15781"/>
    <cellWatch r="G15782"/>
    <cellWatch r="G15783"/>
    <cellWatch r="G15784"/>
    <cellWatch r="G15785"/>
    <cellWatch r="G15786"/>
    <cellWatch r="G15787"/>
    <cellWatch r="G15788"/>
    <cellWatch r="G15789"/>
    <cellWatch r="G15790"/>
    <cellWatch r="G15791"/>
    <cellWatch r="G15792"/>
    <cellWatch r="G15793"/>
    <cellWatch r="G15794"/>
    <cellWatch r="G15795"/>
    <cellWatch r="G15796"/>
    <cellWatch r="G15797"/>
    <cellWatch r="G15798"/>
    <cellWatch r="G15799"/>
    <cellWatch r="G15800"/>
    <cellWatch r="G15801"/>
    <cellWatch r="G15802"/>
    <cellWatch r="G15803"/>
    <cellWatch r="G15804"/>
    <cellWatch r="G15805"/>
    <cellWatch r="G15806"/>
    <cellWatch r="G15807"/>
    <cellWatch r="G15808"/>
    <cellWatch r="G15809"/>
    <cellWatch r="G15810"/>
    <cellWatch r="G15811"/>
    <cellWatch r="G15812"/>
    <cellWatch r="G15813"/>
    <cellWatch r="G15814"/>
    <cellWatch r="G15815"/>
    <cellWatch r="G15816"/>
    <cellWatch r="G15817"/>
    <cellWatch r="G15818"/>
    <cellWatch r="G15819"/>
    <cellWatch r="G15820"/>
    <cellWatch r="G15821"/>
    <cellWatch r="G15822"/>
    <cellWatch r="G15823"/>
    <cellWatch r="G15824"/>
    <cellWatch r="G15825"/>
    <cellWatch r="G15826"/>
    <cellWatch r="G15827"/>
    <cellWatch r="G15828"/>
    <cellWatch r="G15829"/>
    <cellWatch r="G15830"/>
    <cellWatch r="G15831"/>
    <cellWatch r="G15832"/>
    <cellWatch r="G15833"/>
    <cellWatch r="G15834"/>
    <cellWatch r="G15835"/>
    <cellWatch r="G15836"/>
    <cellWatch r="G15837"/>
    <cellWatch r="G15838"/>
    <cellWatch r="G15839"/>
    <cellWatch r="G15840"/>
    <cellWatch r="G15841"/>
    <cellWatch r="G15842"/>
    <cellWatch r="G15843"/>
    <cellWatch r="G15844"/>
    <cellWatch r="G15845"/>
    <cellWatch r="G15846"/>
    <cellWatch r="G15847"/>
    <cellWatch r="G15848"/>
    <cellWatch r="G15849"/>
    <cellWatch r="G15850"/>
    <cellWatch r="G15851"/>
    <cellWatch r="G15852"/>
    <cellWatch r="G15853"/>
    <cellWatch r="G15854"/>
    <cellWatch r="G15855"/>
    <cellWatch r="G15856"/>
    <cellWatch r="G15857"/>
    <cellWatch r="G15858"/>
    <cellWatch r="G15859"/>
    <cellWatch r="G15860"/>
    <cellWatch r="G15861"/>
    <cellWatch r="G15862"/>
    <cellWatch r="G15863"/>
    <cellWatch r="G15864"/>
    <cellWatch r="G15865"/>
    <cellWatch r="G15866"/>
    <cellWatch r="G15867"/>
    <cellWatch r="G15868"/>
    <cellWatch r="G15869"/>
    <cellWatch r="G15870"/>
    <cellWatch r="G15871"/>
    <cellWatch r="G15872"/>
    <cellWatch r="G15873"/>
    <cellWatch r="G15874"/>
    <cellWatch r="G15875"/>
    <cellWatch r="G15876"/>
    <cellWatch r="G15877"/>
    <cellWatch r="G15878"/>
    <cellWatch r="G15879"/>
    <cellWatch r="G15880"/>
    <cellWatch r="G15881"/>
    <cellWatch r="G15882"/>
    <cellWatch r="G15883"/>
    <cellWatch r="G15884"/>
    <cellWatch r="G15885"/>
    <cellWatch r="G15886"/>
    <cellWatch r="G15887"/>
    <cellWatch r="G15888"/>
    <cellWatch r="G15889"/>
    <cellWatch r="G15890"/>
    <cellWatch r="G15891"/>
    <cellWatch r="G15892"/>
    <cellWatch r="G15893"/>
    <cellWatch r="G15894"/>
    <cellWatch r="G15895"/>
    <cellWatch r="G15896"/>
    <cellWatch r="G15897"/>
    <cellWatch r="G15898"/>
    <cellWatch r="G15899"/>
    <cellWatch r="G15900"/>
    <cellWatch r="G15901"/>
    <cellWatch r="G15902"/>
    <cellWatch r="G15903"/>
    <cellWatch r="G15904"/>
    <cellWatch r="G15905"/>
    <cellWatch r="G15906"/>
    <cellWatch r="G15907"/>
    <cellWatch r="G15908"/>
    <cellWatch r="G15909"/>
    <cellWatch r="G15910"/>
    <cellWatch r="G15911"/>
    <cellWatch r="G15912"/>
    <cellWatch r="G15913"/>
    <cellWatch r="G15914"/>
    <cellWatch r="G15915"/>
    <cellWatch r="G15916"/>
    <cellWatch r="G15917"/>
    <cellWatch r="G15918"/>
    <cellWatch r="G15919"/>
    <cellWatch r="G15920"/>
    <cellWatch r="G15921"/>
    <cellWatch r="G15922"/>
    <cellWatch r="G15923"/>
    <cellWatch r="G15924"/>
    <cellWatch r="G15925"/>
    <cellWatch r="G15926"/>
    <cellWatch r="G15927"/>
    <cellWatch r="G15928"/>
    <cellWatch r="G15929"/>
    <cellWatch r="G15930"/>
    <cellWatch r="G15931"/>
    <cellWatch r="G15932"/>
    <cellWatch r="G15933"/>
    <cellWatch r="G15934"/>
    <cellWatch r="G15935"/>
    <cellWatch r="G15936"/>
    <cellWatch r="G15937"/>
    <cellWatch r="G15938"/>
    <cellWatch r="G15939"/>
    <cellWatch r="G15940"/>
    <cellWatch r="G15941"/>
    <cellWatch r="G15942"/>
    <cellWatch r="G15943"/>
    <cellWatch r="G15944"/>
    <cellWatch r="G15945"/>
    <cellWatch r="G15946"/>
    <cellWatch r="G15947"/>
    <cellWatch r="G15948"/>
    <cellWatch r="G15949"/>
    <cellWatch r="G15950"/>
    <cellWatch r="G15951"/>
    <cellWatch r="G15952"/>
    <cellWatch r="G15953"/>
    <cellWatch r="G15954"/>
    <cellWatch r="G15955"/>
    <cellWatch r="G15956"/>
    <cellWatch r="G15957"/>
    <cellWatch r="G15958"/>
    <cellWatch r="G15959"/>
    <cellWatch r="G15960"/>
    <cellWatch r="G15961"/>
    <cellWatch r="G15962"/>
    <cellWatch r="G15963"/>
    <cellWatch r="G15964"/>
    <cellWatch r="G15965"/>
    <cellWatch r="G15966"/>
    <cellWatch r="G15967"/>
    <cellWatch r="G15968"/>
    <cellWatch r="G15969"/>
    <cellWatch r="G15970"/>
    <cellWatch r="G15971"/>
    <cellWatch r="G15972"/>
    <cellWatch r="G15973"/>
    <cellWatch r="G15974"/>
    <cellWatch r="G15975"/>
    <cellWatch r="G15976"/>
    <cellWatch r="G15977"/>
    <cellWatch r="G15978"/>
    <cellWatch r="G15979"/>
    <cellWatch r="G15980"/>
    <cellWatch r="G15981"/>
    <cellWatch r="G15982"/>
    <cellWatch r="G15983"/>
    <cellWatch r="G15984"/>
    <cellWatch r="G15985"/>
    <cellWatch r="G15986"/>
    <cellWatch r="G15987"/>
    <cellWatch r="G15988"/>
    <cellWatch r="G15989"/>
    <cellWatch r="G15990"/>
    <cellWatch r="G15991"/>
    <cellWatch r="G15992"/>
    <cellWatch r="G15993"/>
    <cellWatch r="G15994"/>
    <cellWatch r="G15995"/>
    <cellWatch r="G15996"/>
    <cellWatch r="G15997"/>
    <cellWatch r="G15998"/>
    <cellWatch r="G15999"/>
    <cellWatch r="G16000"/>
    <cellWatch r="G16001"/>
    <cellWatch r="G16002"/>
    <cellWatch r="G16003"/>
    <cellWatch r="G16004"/>
    <cellWatch r="G16005"/>
    <cellWatch r="G16006"/>
    <cellWatch r="G16007"/>
    <cellWatch r="G16008"/>
    <cellWatch r="G16009"/>
    <cellWatch r="G16010"/>
    <cellWatch r="G16011"/>
    <cellWatch r="G16012"/>
    <cellWatch r="G16013"/>
    <cellWatch r="G16014"/>
    <cellWatch r="G16015"/>
    <cellWatch r="G16016"/>
    <cellWatch r="G16017"/>
    <cellWatch r="G16018"/>
    <cellWatch r="G16019"/>
    <cellWatch r="G16020"/>
    <cellWatch r="G16021"/>
    <cellWatch r="G16022"/>
    <cellWatch r="G16023"/>
    <cellWatch r="G16024"/>
    <cellWatch r="G16025"/>
    <cellWatch r="G16026"/>
    <cellWatch r="G16027"/>
    <cellWatch r="G16028"/>
    <cellWatch r="G16029"/>
    <cellWatch r="G16030"/>
    <cellWatch r="G16031"/>
    <cellWatch r="G16032"/>
    <cellWatch r="G16033"/>
    <cellWatch r="G16034"/>
    <cellWatch r="G16035"/>
    <cellWatch r="G16036"/>
    <cellWatch r="G16037"/>
    <cellWatch r="G16038"/>
    <cellWatch r="G16039"/>
    <cellWatch r="G16040"/>
    <cellWatch r="G16041"/>
    <cellWatch r="G16042"/>
    <cellWatch r="G16043"/>
    <cellWatch r="G16044"/>
    <cellWatch r="G16045"/>
    <cellWatch r="G16046"/>
    <cellWatch r="G16047"/>
    <cellWatch r="G16048"/>
    <cellWatch r="G16049"/>
    <cellWatch r="G16050"/>
    <cellWatch r="G16051"/>
    <cellWatch r="G16052"/>
    <cellWatch r="G16053"/>
    <cellWatch r="G16054"/>
    <cellWatch r="G16055"/>
    <cellWatch r="G16056"/>
    <cellWatch r="G16057"/>
    <cellWatch r="G16058"/>
    <cellWatch r="G16059"/>
    <cellWatch r="G16060"/>
    <cellWatch r="G16061"/>
    <cellWatch r="G16062"/>
    <cellWatch r="G16063"/>
    <cellWatch r="G16064"/>
    <cellWatch r="G16065"/>
    <cellWatch r="G16066"/>
    <cellWatch r="G16067"/>
    <cellWatch r="G16068"/>
    <cellWatch r="G16069"/>
    <cellWatch r="G16070"/>
    <cellWatch r="G16071"/>
    <cellWatch r="G16072"/>
    <cellWatch r="G16073"/>
    <cellWatch r="G16074"/>
    <cellWatch r="G16075"/>
    <cellWatch r="G16076"/>
    <cellWatch r="G16077"/>
    <cellWatch r="G16078"/>
    <cellWatch r="G16079"/>
    <cellWatch r="G16080"/>
    <cellWatch r="G16081"/>
    <cellWatch r="G16082"/>
    <cellWatch r="G16083"/>
    <cellWatch r="G16084"/>
    <cellWatch r="G16085"/>
    <cellWatch r="G16086"/>
    <cellWatch r="G16087"/>
    <cellWatch r="G16088"/>
    <cellWatch r="G16089"/>
    <cellWatch r="G16090"/>
    <cellWatch r="G16091"/>
    <cellWatch r="G16092"/>
    <cellWatch r="G16093"/>
    <cellWatch r="G16094"/>
    <cellWatch r="G16095"/>
    <cellWatch r="G16096"/>
    <cellWatch r="G16097"/>
    <cellWatch r="G16098"/>
    <cellWatch r="G16099"/>
    <cellWatch r="G16100"/>
    <cellWatch r="G16101"/>
    <cellWatch r="G16102"/>
    <cellWatch r="G16103"/>
    <cellWatch r="G16104"/>
    <cellWatch r="G16105"/>
    <cellWatch r="G16106"/>
    <cellWatch r="G16107"/>
    <cellWatch r="G16108"/>
    <cellWatch r="G16109"/>
    <cellWatch r="G16110"/>
    <cellWatch r="G16111"/>
    <cellWatch r="G16112"/>
    <cellWatch r="G16113"/>
    <cellWatch r="G16114"/>
    <cellWatch r="G16115"/>
    <cellWatch r="G16116"/>
    <cellWatch r="G16117"/>
    <cellWatch r="G16118"/>
    <cellWatch r="G16119"/>
    <cellWatch r="G16120"/>
    <cellWatch r="G16121"/>
    <cellWatch r="G16122"/>
    <cellWatch r="G16123"/>
    <cellWatch r="G16124"/>
    <cellWatch r="G16125"/>
    <cellWatch r="G16126"/>
    <cellWatch r="G16127"/>
    <cellWatch r="G16128"/>
    <cellWatch r="G16129"/>
    <cellWatch r="G16130"/>
    <cellWatch r="G16131"/>
    <cellWatch r="G16132"/>
    <cellWatch r="G16133"/>
    <cellWatch r="G16134"/>
    <cellWatch r="G16135"/>
    <cellWatch r="G16136"/>
    <cellWatch r="G16137"/>
    <cellWatch r="G16138"/>
    <cellWatch r="G16139"/>
    <cellWatch r="G16140"/>
    <cellWatch r="G16141"/>
    <cellWatch r="G16142"/>
    <cellWatch r="G16143"/>
    <cellWatch r="G16144"/>
    <cellWatch r="G16145"/>
    <cellWatch r="G16146"/>
    <cellWatch r="G16147"/>
    <cellWatch r="G16148"/>
    <cellWatch r="G16149"/>
    <cellWatch r="G16150"/>
    <cellWatch r="G16151"/>
    <cellWatch r="G16152"/>
    <cellWatch r="G16153"/>
    <cellWatch r="G16154"/>
    <cellWatch r="G16155"/>
    <cellWatch r="G16156"/>
    <cellWatch r="G16157"/>
    <cellWatch r="G16158"/>
    <cellWatch r="G16159"/>
    <cellWatch r="G16160"/>
    <cellWatch r="G16161"/>
    <cellWatch r="G16162"/>
    <cellWatch r="G16163"/>
    <cellWatch r="G16164"/>
    <cellWatch r="G16165"/>
    <cellWatch r="G16166"/>
    <cellWatch r="G16167"/>
    <cellWatch r="G16168"/>
    <cellWatch r="G16169"/>
    <cellWatch r="G16170"/>
    <cellWatch r="G16171"/>
    <cellWatch r="G16172"/>
    <cellWatch r="G16173"/>
    <cellWatch r="G16174"/>
    <cellWatch r="G16175"/>
    <cellWatch r="G16176"/>
    <cellWatch r="G16177"/>
    <cellWatch r="G16178"/>
    <cellWatch r="G16179"/>
    <cellWatch r="G16180"/>
    <cellWatch r="G16181"/>
    <cellWatch r="G16182"/>
    <cellWatch r="G16183"/>
    <cellWatch r="G16184"/>
    <cellWatch r="G16185"/>
    <cellWatch r="G16186"/>
    <cellWatch r="G16187"/>
    <cellWatch r="G16188"/>
    <cellWatch r="G16189"/>
    <cellWatch r="G16190"/>
    <cellWatch r="G16191"/>
    <cellWatch r="G16192"/>
    <cellWatch r="G16193"/>
    <cellWatch r="G16194"/>
    <cellWatch r="G16195"/>
    <cellWatch r="G16196"/>
    <cellWatch r="G16197"/>
    <cellWatch r="G16198"/>
    <cellWatch r="G16199"/>
    <cellWatch r="G16200"/>
    <cellWatch r="G16201"/>
    <cellWatch r="G16202"/>
    <cellWatch r="G16203"/>
    <cellWatch r="G16204"/>
    <cellWatch r="G16205"/>
    <cellWatch r="G16206"/>
    <cellWatch r="G16207"/>
    <cellWatch r="G16208"/>
    <cellWatch r="G16209"/>
    <cellWatch r="G16210"/>
    <cellWatch r="G16211"/>
    <cellWatch r="G16212"/>
    <cellWatch r="G16213"/>
    <cellWatch r="G16214"/>
    <cellWatch r="G16215"/>
    <cellWatch r="G16216"/>
    <cellWatch r="G16217"/>
    <cellWatch r="G16218"/>
    <cellWatch r="G16219"/>
    <cellWatch r="G16220"/>
    <cellWatch r="G16221"/>
    <cellWatch r="G16222"/>
    <cellWatch r="G16223"/>
    <cellWatch r="G16224"/>
    <cellWatch r="G16225"/>
    <cellWatch r="G16226"/>
    <cellWatch r="G16227"/>
    <cellWatch r="G16228"/>
    <cellWatch r="G16229"/>
    <cellWatch r="G16230"/>
    <cellWatch r="G16231"/>
    <cellWatch r="G16232"/>
    <cellWatch r="G16233"/>
    <cellWatch r="G16234"/>
    <cellWatch r="G16235"/>
    <cellWatch r="G16236"/>
    <cellWatch r="G16237"/>
    <cellWatch r="G16238"/>
    <cellWatch r="G16239"/>
    <cellWatch r="G16240"/>
    <cellWatch r="G16241"/>
    <cellWatch r="G16242"/>
    <cellWatch r="G16243"/>
    <cellWatch r="G16244"/>
    <cellWatch r="G16245"/>
    <cellWatch r="G16246"/>
    <cellWatch r="G16247"/>
    <cellWatch r="G16248"/>
    <cellWatch r="G16249"/>
    <cellWatch r="G16250"/>
    <cellWatch r="G16251"/>
    <cellWatch r="G16252"/>
    <cellWatch r="G16253"/>
    <cellWatch r="G16254"/>
    <cellWatch r="G16255"/>
    <cellWatch r="G16256"/>
    <cellWatch r="G16257"/>
    <cellWatch r="G16258"/>
    <cellWatch r="G16259"/>
    <cellWatch r="G16260"/>
    <cellWatch r="G16261"/>
    <cellWatch r="G16262"/>
    <cellWatch r="G16263"/>
    <cellWatch r="G16264"/>
    <cellWatch r="G16265"/>
    <cellWatch r="G16266"/>
    <cellWatch r="G16267"/>
    <cellWatch r="G16268"/>
    <cellWatch r="G16269"/>
    <cellWatch r="G16270"/>
    <cellWatch r="G16271"/>
    <cellWatch r="G16272"/>
    <cellWatch r="G16273"/>
    <cellWatch r="G16274"/>
    <cellWatch r="G16275"/>
    <cellWatch r="G16276"/>
    <cellWatch r="G16277"/>
    <cellWatch r="G16278"/>
    <cellWatch r="G16279"/>
    <cellWatch r="G16280"/>
    <cellWatch r="G16281"/>
    <cellWatch r="G16282"/>
    <cellWatch r="G16283"/>
    <cellWatch r="G16284"/>
    <cellWatch r="G16285"/>
    <cellWatch r="G16286"/>
    <cellWatch r="G16287"/>
    <cellWatch r="G16288"/>
    <cellWatch r="G16289"/>
    <cellWatch r="G16290"/>
    <cellWatch r="G16291"/>
    <cellWatch r="G16292"/>
    <cellWatch r="G16293"/>
    <cellWatch r="G16294"/>
    <cellWatch r="G16295"/>
    <cellWatch r="G16296"/>
    <cellWatch r="G16297"/>
    <cellWatch r="G16298"/>
    <cellWatch r="G16299"/>
    <cellWatch r="G16300"/>
    <cellWatch r="G16301"/>
    <cellWatch r="G16302"/>
    <cellWatch r="G16303"/>
    <cellWatch r="G16304"/>
    <cellWatch r="G16305"/>
    <cellWatch r="G16306"/>
    <cellWatch r="G16307"/>
    <cellWatch r="G16308"/>
    <cellWatch r="G16309"/>
    <cellWatch r="G16310"/>
    <cellWatch r="G16311"/>
    <cellWatch r="G16312"/>
    <cellWatch r="G16313"/>
    <cellWatch r="G16314"/>
    <cellWatch r="G16315"/>
    <cellWatch r="G16316"/>
    <cellWatch r="G16317"/>
    <cellWatch r="G16318"/>
    <cellWatch r="G16319"/>
    <cellWatch r="G16320"/>
    <cellWatch r="G16321"/>
    <cellWatch r="G16322"/>
    <cellWatch r="G16323"/>
    <cellWatch r="G16324"/>
    <cellWatch r="G16325"/>
    <cellWatch r="G16326"/>
    <cellWatch r="G16327"/>
    <cellWatch r="G16328"/>
    <cellWatch r="G16329"/>
    <cellWatch r="G16330"/>
    <cellWatch r="G16331"/>
    <cellWatch r="G16332"/>
    <cellWatch r="G16333"/>
    <cellWatch r="G16334"/>
    <cellWatch r="G16335"/>
    <cellWatch r="G16336"/>
    <cellWatch r="G16337"/>
    <cellWatch r="G16338"/>
    <cellWatch r="G16339"/>
    <cellWatch r="G16340"/>
    <cellWatch r="G16341"/>
    <cellWatch r="G16342"/>
    <cellWatch r="G16343"/>
    <cellWatch r="G16344"/>
    <cellWatch r="G16345"/>
    <cellWatch r="G16346"/>
    <cellWatch r="G16347"/>
    <cellWatch r="G16348"/>
    <cellWatch r="G16349"/>
    <cellWatch r="G16350"/>
    <cellWatch r="G16351"/>
    <cellWatch r="G16352"/>
    <cellWatch r="G16353"/>
    <cellWatch r="G16354"/>
    <cellWatch r="G16355"/>
    <cellWatch r="G16356"/>
    <cellWatch r="G16357"/>
    <cellWatch r="G16358"/>
    <cellWatch r="G16359"/>
    <cellWatch r="G16360"/>
    <cellWatch r="G16361"/>
    <cellWatch r="G16362"/>
    <cellWatch r="G16363"/>
    <cellWatch r="G16364"/>
    <cellWatch r="G16365"/>
    <cellWatch r="G16366"/>
    <cellWatch r="G16367"/>
    <cellWatch r="G16368"/>
    <cellWatch r="G16369"/>
    <cellWatch r="G16370"/>
    <cellWatch r="G16371"/>
    <cellWatch r="G16372"/>
    <cellWatch r="G16373"/>
    <cellWatch r="G16374"/>
    <cellWatch r="G16375"/>
    <cellWatch r="G16376"/>
    <cellWatch r="G16377"/>
    <cellWatch r="G16378"/>
    <cellWatch r="G16379"/>
    <cellWatch r="G16380"/>
    <cellWatch r="G16381"/>
    <cellWatch r="G16382"/>
    <cellWatch r="G16383"/>
    <cellWatch r="G16384"/>
    <cellWatch r="G16385"/>
    <cellWatch r="G16386"/>
    <cellWatch r="G16387"/>
    <cellWatch r="G16388"/>
    <cellWatch r="G16389"/>
    <cellWatch r="G16390"/>
    <cellWatch r="G16391"/>
    <cellWatch r="G16392"/>
    <cellWatch r="G16393"/>
    <cellWatch r="G16394"/>
    <cellWatch r="G16395"/>
    <cellWatch r="G16396"/>
    <cellWatch r="G16397"/>
    <cellWatch r="G16398"/>
    <cellWatch r="G16399"/>
    <cellWatch r="G16400"/>
    <cellWatch r="G16401"/>
    <cellWatch r="G16402"/>
    <cellWatch r="G16403"/>
    <cellWatch r="G16404"/>
    <cellWatch r="G16405"/>
    <cellWatch r="G16406"/>
    <cellWatch r="G16407"/>
    <cellWatch r="G16408"/>
    <cellWatch r="G16409"/>
    <cellWatch r="G16410"/>
    <cellWatch r="G16411"/>
    <cellWatch r="G16412"/>
    <cellWatch r="G16413"/>
    <cellWatch r="G16414"/>
    <cellWatch r="G16415"/>
    <cellWatch r="G16416"/>
    <cellWatch r="G16417"/>
    <cellWatch r="G16418"/>
    <cellWatch r="G16419"/>
    <cellWatch r="G16420"/>
    <cellWatch r="G16421"/>
    <cellWatch r="G16422"/>
    <cellWatch r="G16423"/>
    <cellWatch r="G16424"/>
    <cellWatch r="G16425"/>
    <cellWatch r="G16426"/>
    <cellWatch r="G16427"/>
    <cellWatch r="G16428"/>
    <cellWatch r="G16429"/>
    <cellWatch r="G16430"/>
    <cellWatch r="G16431"/>
    <cellWatch r="G16432"/>
    <cellWatch r="G16433"/>
    <cellWatch r="G16434"/>
    <cellWatch r="G16435"/>
    <cellWatch r="G16436"/>
    <cellWatch r="G16437"/>
    <cellWatch r="G16438"/>
    <cellWatch r="G16439"/>
    <cellWatch r="G16440"/>
    <cellWatch r="G16441"/>
    <cellWatch r="G16442"/>
    <cellWatch r="G16443"/>
    <cellWatch r="G16444"/>
    <cellWatch r="G16445"/>
    <cellWatch r="G16446"/>
    <cellWatch r="G16447"/>
    <cellWatch r="G16448"/>
    <cellWatch r="G16449"/>
    <cellWatch r="G16450"/>
    <cellWatch r="G16451"/>
    <cellWatch r="G16452"/>
    <cellWatch r="G16453"/>
    <cellWatch r="G16454"/>
    <cellWatch r="G16455"/>
    <cellWatch r="G16456"/>
    <cellWatch r="G16457"/>
    <cellWatch r="G16458"/>
    <cellWatch r="G16459"/>
    <cellWatch r="G16460"/>
    <cellWatch r="G16461"/>
    <cellWatch r="G16462"/>
    <cellWatch r="G16463"/>
    <cellWatch r="G16464"/>
    <cellWatch r="G16465"/>
    <cellWatch r="G16466"/>
    <cellWatch r="G16467"/>
    <cellWatch r="G16468"/>
    <cellWatch r="G16469"/>
    <cellWatch r="G16470"/>
    <cellWatch r="G16471"/>
    <cellWatch r="G16472"/>
    <cellWatch r="G16473"/>
    <cellWatch r="G16474"/>
    <cellWatch r="G16475"/>
    <cellWatch r="G16476"/>
    <cellWatch r="G16477"/>
    <cellWatch r="G16478"/>
    <cellWatch r="G16479"/>
    <cellWatch r="G16480"/>
    <cellWatch r="G16481"/>
    <cellWatch r="G16482"/>
    <cellWatch r="G16483"/>
    <cellWatch r="G16484"/>
    <cellWatch r="G16485"/>
    <cellWatch r="G16486"/>
    <cellWatch r="G16487"/>
    <cellWatch r="G16488"/>
    <cellWatch r="G16489"/>
    <cellWatch r="G16490"/>
    <cellWatch r="G16491"/>
    <cellWatch r="G16492"/>
    <cellWatch r="G16493"/>
    <cellWatch r="G16494"/>
    <cellWatch r="G16495"/>
    <cellWatch r="G16496"/>
    <cellWatch r="G16497"/>
    <cellWatch r="G16498"/>
    <cellWatch r="G16499"/>
    <cellWatch r="G16500"/>
    <cellWatch r="G16501"/>
    <cellWatch r="G16502"/>
    <cellWatch r="G16503"/>
    <cellWatch r="G16504"/>
    <cellWatch r="G16505"/>
    <cellWatch r="G16506"/>
    <cellWatch r="G16507"/>
    <cellWatch r="G16508"/>
    <cellWatch r="G16509"/>
    <cellWatch r="G16510"/>
    <cellWatch r="G16511"/>
    <cellWatch r="G16512"/>
    <cellWatch r="G16513"/>
    <cellWatch r="G16514"/>
    <cellWatch r="G16515"/>
    <cellWatch r="G16516"/>
    <cellWatch r="G16517"/>
    <cellWatch r="G16518"/>
    <cellWatch r="G16519"/>
    <cellWatch r="G16520"/>
    <cellWatch r="G16521"/>
    <cellWatch r="G16522"/>
    <cellWatch r="G16523"/>
    <cellWatch r="G16524"/>
    <cellWatch r="G16525"/>
    <cellWatch r="G16526"/>
    <cellWatch r="G16527"/>
    <cellWatch r="G16528"/>
    <cellWatch r="G16529"/>
    <cellWatch r="G16530"/>
    <cellWatch r="G16531"/>
    <cellWatch r="G16532"/>
    <cellWatch r="G16533"/>
    <cellWatch r="G16534"/>
    <cellWatch r="G16535"/>
    <cellWatch r="G16536"/>
    <cellWatch r="G16537"/>
    <cellWatch r="G16538"/>
    <cellWatch r="G16539"/>
    <cellWatch r="G16540"/>
    <cellWatch r="G16541"/>
    <cellWatch r="G16542"/>
    <cellWatch r="G16543"/>
    <cellWatch r="G16544"/>
    <cellWatch r="G16545"/>
    <cellWatch r="G16546"/>
    <cellWatch r="G16547"/>
    <cellWatch r="G16548"/>
    <cellWatch r="G16549"/>
    <cellWatch r="G16550"/>
    <cellWatch r="G16551"/>
    <cellWatch r="G16552"/>
    <cellWatch r="G16553"/>
    <cellWatch r="G16554"/>
    <cellWatch r="G16555"/>
    <cellWatch r="G16556"/>
    <cellWatch r="G16557"/>
    <cellWatch r="G16558"/>
    <cellWatch r="G16559"/>
    <cellWatch r="G16560"/>
    <cellWatch r="G16561"/>
    <cellWatch r="G16562"/>
    <cellWatch r="G16563"/>
    <cellWatch r="G16564"/>
    <cellWatch r="G16565"/>
    <cellWatch r="G16566"/>
    <cellWatch r="G16567"/>
    <cellWatch r="G16568"/>
    <cellWatch r="G16569"/>
    <cellWatch r="G16570"/>
    <cellWatch r="G16571"/>
    <cellWatch r="G16572"/>
    <cellWatch r="G16573"/>
    <cellWatch r="G16574"/>
    <cellWatch r="G16575"/>
    <cellWatch r="G16576"/>
    <cellWatch r="G16577"/>
    <cellWatch r="G16578"/>
    <cellWatch r="G16579"/>
    <cellWatch r="G16580"/>
    <cellWatch r="G16581"/>
    <cellWatch r="G16582"/>
    <cellWatch r="G16583"/>
    <cellWatch r="G16584"/>
    <cellWatch r="G16585"/>
    <cellWatch r="G16586"/>
    <cellWatch r="G16587"/>
    <cellWatch r="G16588"/>
    <cellWatch r="G16589"/>
    <cellWatch r="G16590"/>
    <cellWatch r="G16591"/>
    <cellWatch r="G16592"/>
    <cellWatch r="G16593"/>
    <cellWatch r="G16594"/>
    <cellWatch r="G16595"/>
    <cellWatch r="G16596"/>
    <cellWatch r="G16597"/>
    <cellWatch r="G16598"/>
    <cellWatch r="G16599"/>
    <cellWatch r="G16600"/>
    <cellWatch r="G16601"/>
    <cellWatch r="G16602"/>
    <cellWatch r="G16603"/>
    <cellWatch r="G16604"/>
    <cellWatch r="G16605"/>
    <cellWatch r="G16606"/>
    <cellWatch r="G16607"/>
    <cellWatch r="G16608"/>
    <cellWatch r="G16609"/>
    <cellWatch r="G16610"/>
    <cellWatch r="G16611"/>
    <cellWatch r="G16612"/>
    <cellWatch r="G16613"/>
    <cellWatch r="G16614"/>
    <cellWatch r="G16615"/>
    <cellWatch r="G16616"/>
    <cellWatch r="G16617"/>
    <cellWatch r="G16618"/>
    <cellWatch r="G16619"/>
    <cellWatch r="G16620"/>
    <cellWatch r="G16621"/>
    <cellWatch r="G16622"/>
    <cellWatch r="G16623"/>
    <cellWatch r="G16624"/>
    <cellWatch r="G16625"/>
    <cellWatch r="G16626"/>
    <cellWatch r="G16627"/>
    <cellWatch r="G16628"/>
    <cellWatch r="G16629"/>
    <cellWatch r="G16630"/>
    <cellWatch r="G16631"/>
    <cellWatch r="G16632"/>
    <cellWatch r="G16633"/>
    <cellWatch r="G16634"/>
    <cellWatch r="G16635"/>
    <cellWatch r="G16636"/>
    <cellWatch r="G16637"/>
    <cellWatch r="G16638"/>
    <cellWatch r="G16639"/>
    <cellWatch r="G16640"/>
    <cellWatch r="G16641"/>
    <cellWatch r="G16642"/>
    <cellWatch r="G16643"/>
    <cellWatch r="G16644"/>
    <cellWatch r="G16645"/>
    <cellWatch r="G16646"/>
    <cellWatch r="G16647"/>
    <cellWatch r="G16648"/>
    <cellWatch r="G16649"/>
    <cellWatch r="G16650"/>
    <cellWatch r="G16651"/>
    <cellWatch r="G16652"/>
    <cellWatch r="G16653"/>
    <cellWatch r="G16654"/>
    <cellWatch r="G16655"/>
    <cellWatch r="G16656"/>
    <cellWatch r="G16657"/>
    <cellWatch r="G16658"/>
    <cellWatch r="G16659"/>
    <cellWatch r="G16660"/>
    <cellWatch r="G16661"/>
    <cellWatch r="G16662"/>
    <cellWatch r="G16663"/>
    <cellWatch r="G16664"/>
    <cellWatch r="G16665"/>
    <cellWatch r="G16666"/>
    <cellWatch r="G16667"/>
    <cellWatch r="G16668"/>
    <cellWatch r="G16669"/>
    <cellWatch r="G16670"/>
    <cellWatch r="G16671"/>
    <cellWatch r="G16672"/>
    <cellWatch r="G16673"/>
    <cellWatch r="G16674"/>
    <cellWatch r="G16675"/>
    <cellWatch r="G16676"/>
    <cellWatch r="G16677"/>
    <cellWatch r="G16678"/>
    <cellWatch r="G16679"/>
    <cellWatch r="G16680"/>
    <cellWatch r="G16681"/>
    <cellWatch r="G16682"/>
    <cellWatch r="G16683"/>
    <cellWatch r="G16684"/>
    <cellWatch r="G16685"/>
    <cellWatch r="G16686"/>
    <cellWatch r="G16687"/>
    <cellWatch r="G16688"/>
    <cellWatch r="G16689"/>
    <cellWatch r="G16690"/>
    <cellWatch r="G16691"/>
    <cellWatch r="G16692"/>
    <cellWatch r="G16693"/>
    <cellWatch r="G16694"/>
    <cellWatch r="G16695"/>
    <cellWatch r="G16696"/>
    <cellWatch r="G16697"/>
    <cellWatch r="G16698"/>
    <cellWatch r="G16699"/>
    <cellWatch r="G16700"/>
    <cellWatch r="G16701"/>
    <cellWatch r="G16702"/>
    <cellWatch r="G16703"/>
    <cellWatch r="G16704"/>
    <cellWatch r="G16705"/>
    <cellWatch r="G16706"/>
    <cellWatch r="G16707"/>
    <cellWatch r="G16708"/>
    <cellWatch r="G16709"/>
    <cellWatch r="G16710"/>
    <cellWatch r="G16711"/>
    <cellWatch r="G16712"/>
    <cellWatch r="G16713"/>
    <cellWatch r="G16714"/>
    <cellWatch r="G16715"/>
    <cellWatch r="G16716"/>
    <cellWatch r="G16717"/>
    <cellWatch r="G16718"/>
    <cellWatch r="G16719"/>
    <cellWatch r="G16720"/>
    <cellWatch r="G16721"/>
    <cellWatch r="G16722"/>
    <cellWatch r="G16723"/>
    <cellWatch r="G16724"/>
    <cellWatch r="G16725"/>
    <cellWatch r="G16726"/>
    <cellWatch r="G16727"/>
    <cellWatch r="G16728"/>
    <cellWatch r="G16729"/>
    <cellWatch r="G16730"/>
    <cellWatch r="G16731"/>
    <cellWatch r="G16732"/>
    <cellWatch r="G16733"/>
    <cellWatch r="G16734"/>
    <cellWatch r="G16735"/>
    <cellWatch r="G16736"/>
    <cellWatch r="G16737"/>
    <cellWatch r="G16738"/>
    <cellWatch r="G16739"/>
    <cellWatch r="G16740"/>
    <cellWatch r="G16741"/>
    <cellWatch r="G16742"/>
    <cellWatch r="G16743"/>
    <cellWatch r="G16744"/>
    <cellWatch r="G16745"/>
    <cellWatch r="G16746"/>
    <cellWatch r="G16747"/>
    <cellWatch r="G16748"/>
    <cellWatch r="G16749"/>
    <cellWatch r="G16750"/>
    <cellWatch r="G16751"/>
    <cellWatch r="G16752"/>
    <cellWatch r="G16753"/>
    <cellWatch r="G16754"/>
    <cellWatch r="G16755"/>
    <cellWatch r="G16756"/>
    <cellWatch r="G16757"/>
    <cellWatch r="G16758"/>
    <cellWatch r="G16759"/>
    <cellWatch r="G16760"/>
    <cellWatch r="G16761"/>
    <cellWatch r="G16762"/>
    <cellWatch r="G16763"/>
    <cellWatch r="G16764"/>
    <cellWatch r="G16765"/>
    <cellWatch r="G16766"/>
    <cellWatch r="G16767"/>
    <cellWatch r="G16768"/>
    <cellWatch r="G16769"/>
    <cellWatch r="G16770"/>
    <cellWatch r="G16771"/>
    <cellWatch r="G16772"/>
    <cellWatch r="G16773"/>
    <cellWatch r="G16774"/>
    <cellWatch r="G16775"/>
    <cellWatch r="G16776"/>
    <cellWatch r="G16777"/>
    <cellWatch r="G16778"/>
    <cellWatch r="G16779"/>
    <cellWatch r="G16780"/>
    <cellWatch r="G16781"/>
    <cellWatch r="G16782"/>
    <cellWatch r="G16783"/>
    <cellWatch r="G16784"/>
    <cellWatch r="G16785"/>
    <cellWatch r="G16786"/>
    <cellWatch r="G16787"/>
    <cellWatch r="G16788"/>
    <cellWatch r="G16789"/>
    <cellWatch r="G16790"/>
    <cellWatch r="G16791"/>
    <cellWatch r="G16792"/>
    <cellWatch r="G16793"/>
    <cellWatch r="G16794"/>
    <cellWatch r="G16795"/>
    <cellWatch r="G16796"/>
    <cellWatch r="G16797"/>
    <cellWatch r="G16798"/>
    <cellWatch r="G16799"/>
    <cellWatch r="G16800"/>
    <cellWatch r="G16801"/>
    <cellWatch r="G16802"/>
    <cellWatch r="G16803"/>
    <cellWatch r="G16804"/>
    <cellWatch r="G16805"/>
    <cellWatch r="G16806"/>
    <cellWatch r="G16807"/>
    <cellWatch r="G16808"/>
    <cellWatch r="G16809"/>
    <cellWatch r="G16810"/>
    <cellWatch r="G16811"/>
    <cellWatch r="G16812"/>
    <cellWatch r="G16813"/>
    <cellWatch r="G16814"/>
    <cellWatch r="G16815"/>
    <cellWatch r="G16816"/>
    <cellWatch r="G16817"/>
    <cellWatch r="G16818"/>
    <cellWatch r="G16819"/>
    <cellWatch r="G16820"/>
    <cellWatch r="G16821"/>
    <cellWatch r="G16822"/>
    <cellWatch r="G16823"/>
    <cellWatch r="G16824"/>
    <cellWatch r="G16825"/>
    <cellWatch r="G16826"/>
    <cellWatch r="G16827"/>
    <cellWatch r="G16828"/>
    <cellWatch r="G16829"/>
    <cellWatch r="G16830"/>
    <cellWatch r="G16831"/>
    <cellWatch r="G16832"/>
    <cellWatch r="G16833"/>
    <cellWatch r="G16834"/>
    <cellWatch r="G16835"/>
    <cellWatch r="G16836"/>
    <cellWatch r="G16837"/>
    <cellWatch r="G16838"/>
    <cellWatch r="G16839"/>
    <cellWatch r="G16840"/>
    <cellWatch r="G16841"/>
    <cellWatch r="G16842"/>
    <cellWatch r="G16843"/>
    <cellWatch r="G16844"/>
    <cellWatch r="G16845"/>
    <cellWatch r="G16846"/>
    <cellWatch r="G16847"/>
    <cellWatch r="G16848"/>
    <cellWatch r="G16849"/>
    <cellWatch r="G16850"/>
    <cellWatch r="G16851"/>
    <cellWatch r="G16852"/>
    <cellWatch r="G16853"/>
    <cellWatch r="G16854"/>
    <cellWatch r="G16855"/>
    <cellWatch r="G16856"/>
    <cellWatch r="G16857"/>
    <cellWatch r="G16858"/>
    <cellWatch r="G16859"/>
    <cellWatch r="G16860"/>
    <cellWatch r="G16861"/>
    <cellWatch r="G16862"/>
    <cellWatch r="G16863"/>
    <cellWatch r="G16864"/>
    <cellWatch r="G16865"/>
    <cellWatch r="G16866"/>
    <cellWatch r="G16867"/>
    <cellWatch r="G16868"/>
    <cellWatch r="G16869"/>
    <cellWatch r="G16870"/>
    <cellWatch r="G16871"/>
    <cellWatch r="G16872"/>
    <cellWatch r="G16873"/>
    <cellWatch r="G16874"/>
    <cellWatch r="G16875"/>
    <cellWatch r="G16876"/>
    <cellWatch r="G16877"/>
    <cellWatch r="G16878"/>
    <cellWatch r="G16879"/>
    <cellWatch r="G16880"/>
    <cellWatch r="G16881"/>
    <cellWatch r="G16882"/>
    <cellWatch r="G16883"/>
    <cellWatch r="G16884"/>
    <cellWatch r="G16885"/>
    <cellWatch r="G16886"/>
    <cellWatch r="G16887"/>
    <cellWatch r="G16888"/>
    <cellWatch r="G16889"/>
    <cellWatch r="G16890"/>
    <cellWatch r="G16891"/>
    <cellWatch r="G16892"/>
    <cellWatch r="G16893"/>
    <cellWatch r="G16894"/>
    <cellWatch r="G16895"/>
    <cellWatch r="G16896"/>
    <cellWatch r="G16897"/>
    <cellWatch r="G16898"/>
    <cellWatch r="G16899"/>
    <cellWatch r="G16900"/>
    <cellWatch r="G16901"/>
    <cellWatch r="G16902"/>
    <cellWatch r="G16903"/>
    <cellWatch r="G16904"/>
    <cellWatch r="G16905"/>
    <cellWatch r="G16906"/>
    <cellWatch r="G16907"/>
    <cellWatch r="G16908"/>
    <cellWatch r="G16909"/>
    <cellWatch r="G16910"/>
    <cellWatch r="G16911"/>
    <cellWatch r="G16912"/>
    <cellWatch r="G16913"/>
    <cellWatch r="G16914"/>
    <cellWatch r="G16915"/>
    <cellWatch r="G16916"/>
    <cellWatch r="G16917"/>
    <cellWatch r="G16918"/>
    <cellWatch r="G16919"/>
    <cellWatch r="G16920"/>
    <cellWatch r="G16921"/>
    <cellWatch r="G16922"/>
    <cellWatch r="G16923"/>
    <cellWatch r="G16924"/>
    <cellWatch r="G16925"/>
    <cellWatch r="G16926"/>
    <cellWatch r="G16927"/>
    <cellWatch r="G16928"/>
    <cellWatch r="G16929"/>
    <cellWatch r="G16930"/>
    <cellWatch r="G16931"/>
    <cellWatch r="G16932"/>
    <cellWatch r="G16933"/>
    <cellWatch r="G16934"/>
    <cellWatch r="G16935"/>
    <cellWatch r="G16936"/>
    <cellWatch r="G16937"/>
    <cellWatch r="G16938"/>
    <cellWatch r="G16939"/>
    <cellWatch r="G16940"/>
    <cellWatch r="G16941"/>
    <cellWatch r="G16942"/>
    <cellWatch r="G16943"/>
    <cellWatch r="G16944"/>
    <cellWatch r="G16945"/>
    <cellWatch r="G16946"/>
    <cellWatch r="G16947"/>
    <cellWatch r="G16948"/>
    <cellWatch r="G16949"/>
    <cellWatch r="G16950"/>
    <cellWatch r="G16951"/>
    <cellWatch r="G16952"/>
    <cellWatch r="G16953"/>
    <cellWatch r="G16954"/>
    <cellWatch r="G16955"/>
    <cellWatch r="G16956"/>
    <cellWatch r="G16957"/>
    <cellWatch r="G16958"/>
    <cellWatch r="G16959"/>
    <cellWatch r="G16960"/>
    <cellWatch r="G16961"/>
    <cellWatch r="G16962"/>
    <cellWatch r="G16963"/>
    <cellWatch r="G16964"/>
    <cellWatch r="G16965"/>
    <cellWatch r="G16966"/>
    <cellWatch r="G16967"/>
    <cellWatch r="G16968"/>
    <cellWatch r="G16969"/>
    <cellWatch r="G16970"/>
    <cellWatch r="G16971"/>
    <cellWatch r="G16972"/>
    <cellWatch r="G16973"/>
    <cellWatch r="G16974"/>
    <cellWatch r="G16975"/>
    <cellWatch r="G16976"/>
    <cellWatch r="G16977"/>
    <cellWatch r="G16978"/>
    <cellWatch r="G16979"/>
    <cellWatch r="G16980"/>
    <cellWatch r="G16981"/>
    <cellWatch r="G16982"/>
    <cellWatch r="G16983"/>
    <cellWatch r="G16984"/>
    <cellWatch r="G16985"/>
    <cellWatch r="G16986"/>
    <cellWatch r="G16987"/>
    <cellWatch r="G16988"/>
    <cellWatch r="G16989"/>
    <cellWatch r="G16990"/>
    <cellWatch r="G16991"/>
    <cellWatch r="G16992"/>
    <cellWatch r="G16993"/>
    <cellWatch r="G16994"/>
    <cellWatch r="G16995"/>
    <cellWatch r="G16996"/>
    <cellWatch r="G16997"/>
    <cellWatch r="G16998"/>
    <cellWatch r="G16999"/>
    <cellWatch r="G17000"/>
    <cellWatch r="G17001"/>
    <cellWatch r="G17002"/>
    <cellWatch r="G17003"/>
    <cellWatch r="G17004"/>
    <cellWatch r="G17005"/>
    <cellWatch r="G17006"/>
    <cellWatch r="G17007"/>
    <cellWatch r="G17008"/>
    <cellWatch r="G17009"/>
    <cellWatch r="G17010"/>
    <cellWatch r="G17011"/>
    <cellWatch r="G17012"/>
    <cellWatch r="G17013"/>
    <cellWatch r="G17014"/>
    <cellWatch r="G17015"/>
    <cellWatch r="G17016"/>
    <cellWatch r="G17017"/>
    <cellWatch r="G17018"/>
    <cellWatch r="G17019"/>
    <cellWatch r="G17020"/>
    <cellWatch r="G17021"/>
    <cellWatch r="G17022"/>
    <cellWatch r="G17023"/>
    <cellWatch r="G17024"/>
    <cellWatch r="G17025"/>
    <cellWatch r="G17026"/>
    <cellWatch r="G17027"/>
    <cellWatch r="G17028"/>
    <cellWatch r="G17029"/>
    <cellWatch r="G17030"/>
    <cellWatch r="G17031"/>
    <cellWatch r="G17032"/>
    <cellWatch r="G17033"/>
    <cellWatch r="G17034"/>
    <cellWatch r="G17035"/>
    <cellWatch r="G17036"/>
    <cellWatch r="G17037"/>
    <cellWatch r="G17038"/>
    <cellWatch r="G17039"/>
    <cellWatch r="G17040"/>
    <cellWatch r="G17041"/>
    <cellWatch r="G17042"/>
    <cellWatch r="G17043"/>
    <cellWatch r="G17044"/>
    <cellWatch r="G17045"/>
    <cellWatch r="G17046"/>
    <cellWatch r="G17047"/>
    <cellWatch r="G17048"/>
    <cellWatch r="G17049"/>
    <cellWatch r="G17050"/>
    <cellWatch r="G17051"/>
    <cellWatch r="G17052"/>
    <cellWatch r="G17053"/>
    <cellWatch r="G17054"/>
    <cellWatch r="G17055"/>
    <cellWatch r="G17056"/>
    <cellWatch r="G17057"/>
    <cellWatch r="G17058"/>
    <cellWatch r="G17059"/>
    <cellWatch r="G17060"/>
    <cellWatch r="G17061"/>
    <cellWatch r="G17062"/>
    <cellWatch r="G17063"/>
    <cellWatch r="G17064"/>
    <cellWatch r="G17065"/>
    <cellWatch r="G17066"/>
    <cellWatch r="G17067"/>
    <cellWatch r="G17068"/>
    <cellWatch r="G17069"/>
    <cellWatch r="G17070"/>
    <cellWatch r="G17071"/>
    <cellWatch r="G17072"/>
    <cellWatch r="G17073"/>
    <cellWatch r="G17074"/>
    <cellWatch r="G17075"/>
    <cellWatch r="G17076"/>
    <cellWatch r="G17077"/>
    <cellWatch r="G17078"/>
    <cellWatch r="G17079"/>
    <cellWatch r="G17080"/>
    <cellWatch r="G17081"/>
    <cellWatch r="G17082"/>
    <cellWatch r="G17083"/>
    <cellWatch r="G17084"/>
    <cellWatch r="G17085"/>
    <cellWatch r="G17086"/>
    <cellWatch r="G17087"/>
    <cellWatch r="G17088"/>
    <cellWatch r="G17089"/>
    <cellWatch r="G17090"/>
    <cellWatch r="G17091"/>
    <cellWatch r="G17092"/>
    <cellWatch r="G17093"/>
    <cellWatch r="G17094"/>
    <cellWatch r="G17095"/>
    <cellWatch r="G17096"/>
    <cellWatch r="G17097"/>
    <cellWatch r="G17098"/>
    <cellWatch r="G17099"/>
    <cellWatch r="G17100"/>
    <cellWatch r="G17101"/>
    <cellWatch r="G17102"/>
    <cellWatch r="G17103"/>
    <cellWatch r="G17104"/>
    <cellWatch r="G17105"/>
    <cellWatch r="G17106"/>
    <cellWatch r="G17107"/>
    <cellWatch r="G17108"/>
    <cellWatch r="G17109"/>
    <cellWatch r="G17110"/>
    <cellWatch r="G17111"/>
    <cellWatch r="G17112"/>
    <cellWatch r="G17113"/>
    <cellWatch r="G17114"/>
    <cellWatch r="G17115"/>
    <cellWatch r="G17116"/>
    <cellWatch r="G17117"/>
    <cellWatch r="G17118"/>
    <cellWatch r="G17119"/>
    <cellWatch r="G17120"/>
    <cellWatch r="G17121"/>
    <cellWatch r="G17122"/>
    <cellWatch r="G17123"/>
    <cellWatch r="G17124"/>
    <cellWatch r="G17125"/>
    <cellWatch r="G17126"/>
    <cellWatch r="G17127"/>
    <cellWatch r="G17128"/>
    <cellWatch r="G17129"/>
    <cellWatch r="G17130"/>
    <cellWatch r="G17131"/>
    <cellWatch r="G17132"/>
    <cellWatch r="G17133"/>
    <cellWatch r="G17134"/>
    <cellWatch r="G17135"/>
    <cellWatch r="G17136"/>
    <cellWatch r="G17137"/>
    <cellWatch r="G17138"/>
    <cellWatch r="G17139"/>
    <cellWatch r="G17140"/>
    <cellWatch r="G17141"/>
    <cellWatch r="G17142"/>
    <cellWatch r="G17143"/>
    <cellWatch r="G17144"/>
    <cellWatch r="G17145"/>
    <cellWatch r="G17146"/>
    <cellWatch r="G17147"/>
    <cellWatch r="G17148"/>
    <cellWatch r="G17149"/>
    <cellWatch r="G17150"/>
    <cellWatch r="G17151"/>
    <cellWatch r="G17152"/>
    <cellWatch r="G17153"/>
    <cellWatch r="G17154"/>
    <cellWatch r="G17155"/>
    <cellWatch r="G17156"/>
    <cellWatch r="G17157"/>
    <cellWatch r="G17158"/>
    <cellWatch r="G17159"/>
    <cellWatch r="G17160"/>
    <cellWatch r="G17161"/>
    <cellWatch r="G17162"/>
    <cellWatch r="G17163"/>
    <cellWatch r="G17164"/>
    <cellWatch r="G17165"/>
    <cellWatch r="G17166"/>
    <cellWatch r="G17167"/>
    <cellWatch r="G17168"/>
    <cellWatch r="G17169"/>
    <cellWatch r="G17170"/>
    <cellWatch r="G17171"/>
    <cellWatch r="G17172"/>
    <cellWatch r="G17173"/>
    <cellWatch r="G17174"/>
    <cellWatch r="G17175"/>
    <cellWatch r="G17176"/>
    <cellWatch r="G17177"/>
    <cellWatch r="G17178"/>
    <cellWatch r="G17179"/>
    <cellWatch r="G17180"/>
    <cellWatch r="G17181"/>
    <cellWatch r="G17182"/>
    <cellWatch r="G17183"/>
    <cellWatch r="G17184"/>
    <cellWatch r="G17185"/>
    <cellWatch r="G17186"/>
    <cellWatch r="G17187"/>
    <cellWatch r="G17188"/>
    <cellWatch r="G17189"/>
    <cellWatch r="G17190"/>
    <cellWatch r="G17191"/>
    <cellWatch r="G17192"/>
    <cellWatch r="G17193"/>
    <cellWatch r="G17194"/>
    <cellWatch r="G17195"/>
    <cellWatch r="G17196"/>
    <cellWatch r="G17197"/>
    <cellWatch r="G17198"/>
    <cellWatch r="G17199"/>
    <cellWatch r="G17200"/>
    <cellWatch r="G17201"/>
    <cellWatch r="G17202"/>
    <cellWatch r="G17203"/>
    <cellWatch r="G17204"/>
    <cellWatch r="G17205"/>
    <cellWatch r="G17206"/>
    <cellWatch r="G17207"/>
    <cellWatch r="G17208"/>
    <cellWatch r="G17209"/>
    <cellWatch r="G17210"/>
    <cellWatch r="G17211"/>
    <cellWatch r="G17212"/>
    <cellWatch r="G17213"/>
    <cellWatch r="G17214"/>
    <cellWatch r="G17215"/>
    <cellWatch r="G17216"/>
    <cellWatch r="G17217"/>
    <cellWatch r="G17218"/>
    <cellWatch r="G17219"/>
    <cellWatch r="G17220"/>
    <cellWatch r="G17221"/>
    <cellWatch r="G17222"/>
    <cellWatch r="G17223"/>
    <cellWatch r="G17224"/>
    <cellWatch r="G17225"/>
    <cellWatch r="G17226"/>
    <cellWatch r="G17227"/>
    <cellWatch r="G17228"/>
    <cellWatch r="G17229"/>
    <cellWatch r="G17230"/>
    <cellWatch r="G17231"/>
    <cellWatch r="G17232"/>
    <cellWatch r="G17233"/>
    <cellWatch r="G17234"/>
    <cellWatch r="G17235"/>
    <cellWatch r="G17236"/>
    <cellWatch r="G17237"/>
    <cellWatch r="G17238"/>
    <cellWatch r="G17239"/>
    <cellWatch r="G17240"/>
    <cellWatch r="G17241"/>
    <cellWatch r="G17242"/>
    <cellWatch r="G17243"/>
    <cellWatch r="G17244"/>
    <cellWatch r="G17245"/>
    <cellWatch r="G17246"/>
    <cellWatch r="G17247"/>
    <cellWatch r="G17248"/>
    <cellWatch r="G17249"/>
    <cellWatch r="G17250"/>
    <cellWatch r="G17251"/>
    <cellWatch r="G17252"/>
    <cellWatch r="G17253"/>
    <cellWatch r="G17254"/>
    <cellWatch r="G17255"/>
    <cellWatch r="G17256"/>
    <cellWatch r="G17257"/>
    <cellWatch r="G17258"/>
    <cellWatch r="G17259"/>
    <cellWatch r="G17260"/>
    <cellWatch r="G17261"/>
    <cellWatch r="G17262"/>
    <cellWatch r="G17263"/>
    <cellWatch r="G17264"/>
    <cellWatch r="G17265"/>
    <cellWatch r="G17266"/>
    <cellWatch r="G17267"/>
    <cellWatch r="G17268"/>
    <cellWatch r="G17269"/>
    <cellWatch r="G17270"/>
    <cellWatch r="G17271"/>
    <cellWatch r="G17272"/>
    <cellWatch r="G17273"/>
    <cellWatch r="G17274"/>
    <cellWatch r="G17275"/>
    <cellWatch r="G17276"/>
    <cellWatch r="G17277"/>
    <cellWatch r="G17278"/>
    <cellWatch r="G17279"/>
    <cellWatch r="G17280"/>
    <cellWatch r="G17281"/>
    <cellWatch r="G17282"/>
    <cellWatch r="G17283"/>
    <cellWatch r="G17284"/>
    <cellWatch r="G17285"/>
    <cellWatch r="G17286"/>
    <cellWatch r="G17287"/>
    <cellWatch r="G17288"/>
    <cellWatch r="G17289"/>
    <cellWatch r="G17290"/>
    <cellWatch r="G17291"/>
    <cellWatch r="G17292"/>
    <cellWatch r="G17293"/>
    <cellWatch r="G17294"/>
    <cellWatch r="G17295"/>
    <cellWatch r="G17296"/>
    <cellWatch r="G17297"/>
    <cellWatch r="G17298"/>
    <cellWatch r="G17299"/>
    <cellWatch r="G17300"/>
    <cellWatch r="G17301"/>
    <cellWatch r="G17302"/>
    <cellWatch r="G17303"/>
    <cellWatch r="G17304"/>
    <cellWatch r="G17305"/>
    <cellWatch r="G17306"/>
    <cellWatch r="G17307"/>
    <cellWatch r="G17308"/>
    <cellWatch r="G17309"/>
    <cellWatch r="G17310"/>
    <cellWatch r="G17311"/>
    <cellWatch r="G17312"/>
    <cellWatch r="G17313"/>
    <cellWatch r="G17314"/>
    <cellWatch r="G17315"/>
    <cellWatch r="G17316"/>
    <cellWatch r="G17317"/>
    <cellWatch r="G17318"/>
    <cellWatch r="G17319"/>
    <cellWatch r="G17320"/>
    <cellWatch r="G17321"/>
    <cellWatch r="G17322"/>
    <cellWatch r="G17323"/>
    <cellWatch r="G17324"/>
    <cellWatch r="G17325"/>
    <cellWatch r="G17326"/>
    <cellWatch r="G17327"/>
    <cellWatch r="G17328"/>
    <cellWatch r="G17329"/>
    <cellWatch r="G17330"/>
    <cellWatch r="G17331"/>
    <cellWatch r="G17332"/>
    <cellWatch r="G17333"/>
    <cellWatch r="G17334"/>
    <cellWatch r="G17335"/>
    <cellWatch r="G17336"/>
    <cellWatch r="G17337"/>
    <cellWatch r="G17338"/>
    <cellWatch r="G17339"/>
    <cellWatch r="G17340"/>
    <cellWatch r="G17341"/>
    <cellWatch r="G17342"/>
    <cellWatch r="G17343"/>
    <cellWatch r="G17344"/>
    <cellWatch r="G17345"/>
    <cellWatch r="G17346"/>
    <cellWatch r="G17347"/>
    <cellWatch r="G17348"/>
    <cellWatch r="G17349"/>
    <cellWatch r="G17350"/>
    <cellWatch r="G17351"/>
    <cellWatch r="G17352"/>
    <cellWatch r="G17353"/>
    <cellWatch r="G17354"/>
    <cellWatch r="G17355"/>
    <cellWatch r="G17356"/>
    <cellWatch r="G17357"/>
    <cellWatch r="G17358"/>
    <cellWatch r="G17359"/>
    <cellWatch r="G17360"/>
    <cellWatch r="G17361"/>
    <cellWatch r="G17362"/>
    <cellWatch r="G17363"/>
    <cellWatch r="G17364"/>
    <cellWatch r="G17365"/>
    <cellWatch r="G17366"/>
    <cellWatch r="G17367"/>
    <cellWatch r="G17368"/>
    <cellWatch r="G17369"/>
    <cellWatch r="G17370"/>
    <cellWatch r="G17371"/>
    <cellWatch r="G17372"/>
    <cellWatch r="G17373"/>
    <cellWatch r="G17374"/>
    <cellWatch r="G17375"/>
    <cellWatch r="G17376"/>
    <cellWatch r="G17377"/>
    <cellWatch r="G17378"/>
    <cellWatch r="G17379"/>
    <cellWatch r="G17380"/>
    <cellWatch r="G17381"/>
    <cellWatch r="G17382"/>
    <cellWatch r="G17383"/>
    <cellWatch r="G17384"/>
    <cellWatch r="G17385"/>
    <cellWatch r="G17386"/>
    <cellWatch r="G17387"/>
    <cellWatch r="G17388"/>
    <cellWatch r="G17389"/>
    <cellWatch r="G17390"/>
    <cellWatch r="G17391"/>
    <cellWatch r="G17392"/>
    <cellWatch r="G17393"/>
    <cellWatch r="G17394"/>
    <cellWatch r="G17395"/>
    <cellWatch r="G17396"/>
    <cellWatch r="G17397"/>
    <cellWatch r="G17398"/>
    <cellWatch r="G17399"/>
    <cellWatch r="G17400"/>
    <cellWatch r="G17401"/>
    <cellWatch r="G17402"/>
    <cellWatch r="G17403"/>
    <cellWatch r="G17404"/>
    <cellWatch r="G17405"/>
    <cellWatch r="G17406"/>
    <cellWatch r="G17407"/>
    <cellWatch r="G17408"/>
    <cellWatch r="G17409"/>
    <cellWatch r="G17410"/>
    <cellWatch r="G17411"/>
    <cellWatch r="G17412"/>
    <cellWatch r="G17413"/>
    <cellWatch r="G17414"/>
    <cellWatch r="G17415"/>
    <cellWatch r="G17416"/>
    <cellWatch r="G17417"/>
    <cellWatch r="G17418"/>
    <cellWatch r="G17419"/>
    <cellWatch r="G17420"/>
    <cellWatch r="G17421"/>
    <cellWatch r="G17422"/>
    <cellWatch r="G17423"/>
    <cellWatch r="G17424"/>
    <cellWatch r="G17425"/>
    <cellWatch r="G17426"/>
    <cellWatch r="G17427"/>
    <cellWatch r="G17428"/>
    <cellWatch r="G17429"/>
    <cellWatch r="G17430"/>
    <cellWatch r="G17431"/>
    <cellWatch r="G17432"/>
    <cellWatch r="G17433"/>
    <cellWatch r="G17434"/>
    <cellWatch r="G17435"/>
    <cellWatch r="G17436"/>
    <cellWatch r="G17437"/>
    <cellWatch r="G17438"/>
    <cellWatch r="G17439"/>
    <cellWatch r="G17440"/>
    <cellWatch r="G17441"/>
    <cellWatch r="G17442"/>
    <cellWatch r="G17443"/>
    <cellWatch r="G17444"/>
    <cellWatch r="G17445"/>
    <cellWatch r="G17446"/>
    <cellWatch r="G17447"/>
    <cellWatch r="G17448"/>
    <cellWatch r="G17449"/>
    <cellWatch r="G17450"/>
    <cellWatch r="G17451"/>
    <cellWatch r="G17452"/>
    <cellWatch r="G17453"/>
    <cellWatch r="G17454"/>
    <cellWatch r="G17455"/>
    <cellWatch r="G17456"/>
    <cellWatch r="G17457"/>
    <cellWatch r="G17458"/>
    <cellWatch r="G17459"/>
    <cellWatch r="G17460"/>
    <cellWatch r="G17461"/>
    <cellWatch r="G17462"/>
    <cellWatch r="G17463"/>
    <cellWatch r="G17464"/>
    <cellWatch r="G17465"/>
    <cellWatch r="G17466"/>
    <cellWatch r="G17467"/>
    <cellWatch r="G17468"/>
    <cellWatch r="G17469"/>
    <cellWatch r="G17470"/>
    <cellWatch r="G17471"/>
    <cellWatch r="G17472"/>
    <cellWatch r="G17473"/>
    <cellWatch r="G17474"/>
    <cellWatch r="G17475"/>
    <cellWatch r="G17476"/>
    <cellWatch r="G17477"/>
    <cellWatch r="G17478"/>
    <cellWatch r="G17479"/>
    <cellWatch r="G17480"/>
    <cellWatch r="G17481"/>
    <cellWatch r="G17482"/>
    <cellWatch r="G17483"/>
    <cellWatch r="G17484"/>
    <cellWatch r="G17485"/>
    <cellWatch r="G17486"/>
    <cellWatch r="G17487"/>
    <cellWatch r="G17488"/>
    <cellWatch r="G17489"/>
    <cellWatch r="G17490"/>
    <cellWatch r="G17491"/>
    <cellWatch r="G17492"/>
    <cellWatch r="G17493"/>
    <cellWatch r="G17494"/>
    <cellWatch r="G17495"/>
    <cellWatch r="G17496"/>
    <cellWatch r="G17497"/>
    <cellWatch r="G17498"/>
    <cellWatch r="G17499"/>
    <cellWatch r="G17500"/>
    <cellWatch r="G17501"/>
    <cellWatch r="G17502"/>
    <cellWatch r="G17503"/>
    <cellWatch r="G17504"/>
    <cellWatch r="G17505"/>
    <cellWatch r="G17506"/>
    <cellWatch r="G17507"/>
    <cellWatch r="G17508"/>
    <cellWatch r="G17509"/>
    <cellWatch r="G17510"/>
    <cellWatch r="G17511"/>
    <cellWatch r="G17512"/>
    <cellWatch r="G17513"/>
    <cellWatch r="G17514"/>
    <cellWatch r="G17515"/>
    <cellWatch r="G17516"/>
    <cellWatch r="G17517"/>
    <cellWatch r="G17518"/>
    <cellWatch r="G17519"/>
    <cellWatch r="G17520"/>
    <cellWatch r="G17521"/>
    <cellWatch r="G17522"/>
    <cellWatch r="G17523"/>
    <cellWatch r="G17524"/>
    <cellWatch r="G17525"/>
    <cellWatch r="G17526"/>
    <cellWatch r="G17527"/>
    <cellWatch r="G17528"/>
    <cellWatch r="G17529"/>
    <cellWatch r="G17530"/>
    <cellWatch r="G17531"/>
    <cellWatch r="G17532"/>
    <cellWatch r="G17533"/>
    <cellWatch r="G17534"/>
    <cellWatch r="G17535"/>
    <cellWatch r="G17536"/>
    <cellWatch r="G17537"/>
    <cellWatch r="G17538"/>
    <cellWatch r="G17539"/>
    <cellWatch r="G17540"/>
    <cellWatch r="G17541"/>
    <cellWatch r="G17542"/>
    <cellWatch r="G17543"/>
    <cellWatch r="G17544"/>
    <cellWatch r="G17545"/>
    <cellWatch r="G17546"/>
    <cellWatch r="G17547"/>
    <cellWatch r="G17548"/>
    <cellWatch r="G17549"/>
    <cellWatch r="G17550"/>
    <cellWatch r="G17551"/>
    <cellWatch r="G17552"/>
    <cellWatch r="G17553"/>
    <cellWatch r="G17554"/>
    <cellWatch r="G17555"/>
    <cellWatch r="G17556"/>
    <cellWatch r="G17557"/>
    <cellWatch r="G17558"/>
    <cellWatch r="G17559"/>
    <cellWatch r="G17560"/>
    <cellWatch r="G17561"/>
    <cellWatch r="G17562"/>
    <cellWatch r="G17563"/>
    <cellWatch r="G17564"/>
    <cellWatch r="G17565"/>
    <cellWatch r="G17566"/>
    <cellWatch r="G17567"/>
    <cellWatch r="G17568"/>
    <cellWatch r="G17569"/>
    <cellWatch r="G17570"/>
    <cellWatch r="G17571"/>
    <cellWatch r="G17572"/>
    <cellWatch r="G17573"/>
    <cellWatch r="G17574"/>
    <cellWatch r="G17575"/>
    <cellWatch r="G17576"/>
    <cellWatch r="G17577"/>
    <cellWatch r="G17578"/>
    <cellWatch r="G17579"/>
    <cellWatch r="G17580"/>
    <cellWatch r="G17581"/>
    <cellWatch r="G17582"/>
    <cellWatch r="G17583"/>
    <cellWatch r="G17584"/>
    <cellWatch r="G17585"/>
    <cellWatch r="G17586"/>
    <cellWatch r="G17587"/>
    <cellWatch r="G17588"/>
    <cellWatch r="G17589"/>
    <cellWatch r="G17590"/>
    <cellWatch r="G17591"/>
    <cellWatch r="G17592"/>
    <cellWatch r="G17593"/>
    <cellWatch r="G17594"/>
    <cellWatch r="G17595"/>
    <cellWatch r="G17596"/>
    <cellWatch r="G17597"/>
    <cellWatch r="G17598"/>
    <cellWatch r="G17599"/>
    <cellWatch r="G17600"/>
    <cellWatch r="G17601"/>
    <cellWatch r="G17602"/>
    <cellWatch r="G17603"/>
    <cellWatch r="G17604"/>
    <cellWatch r="G17605"/>
    <cellWatch r="G17606"/>
    <cellWatch r="G17607"/>
    <cellWatch r="G17608"/>
    <cellWatch r="G17609"/>
    <cellWatch r="G17610"/>
    <cellWatch r="G17611"/>
    <cellWatch r="G17612"/>
    <cellWatch r="G17613"/>
    <cellWatch r="G17614"/>
    <cellWatch r="G17615"/>
    <cellWatch r="G17616"/>
    <cellWatch r="G17617"/>
    <cellWatch r="G17618"/>
    <cellWatch r="G17619"/>
    <cellWatch r="G17620"/>
    <cellWatch r="G17621"/>
    <cellWatch r="G17622"/>
    <cellWatch r="G17623"/>
    <cellWatch r="G17624"/>
    <cellWatch r="G17625"/>
    <cellWatch r="G17626"/>
    <cellWatch r="G17627"/>
    <cellWatch r="G17628"/>
    <cellWatch r="G17629"/>
    <cellWatch r="G17630"/>
    <cellWatch r="G17631"/>
    <cellWatch r="G17632"/>
    <cellWatch r="G17633"/>
    <cellWatch r="G17634"/>
    <cellWatch r="G17635"/>
    <cellWatch r="G17636"/>
    <cellWatch r="G17637"/>
    <cellWatch r="G17638"/>
    <cellWatch r="G17639"/>
    <cellWatch r="G17640"/>
    <cellWatch r="G17641"/>
    <cellWatch r="G17642"/>
    <cellWatch r="G17643"/>
    <cellWatch r="G17644"/>
    <cellWatch r="G17645"/>
    <cellWatch r="G17646"/>
    <cellWatch r="G17647"/>
    <cellWatch r="G17648"/>
    <cellWatch r="G17649"/>
    <cellWatch r="G17650"/>
    <cellWatch r="G17651"/>
    <cellWatch r="G17652"/>
    <cellWatch r="G17653"/>
    <cellWatch r="G17654"/>
    <cellWatch r="G17655"/>
    <cellWatch r="G17656"/>
    <cellWatch r="G17657"/>
    <cellWatch r="G17658"/>
    <cellWatch r="G17659"/>
    <cellWatch r="G17660"/>
    <cellWatch r="G17661"/>
    <cellWatch r="G17662"/>
    <cellWatch r="G17663"/>
    <cellWatch r="G17664"/>
    <cellWatch r="G17665"/>
    <cellWatch r="G17666"/>
    <cellWatch r="G17667"/>
    <cellWatch r="G17668"/>
    <cellWatch r="G17669"/>
    <cellWatch r="G17670"/>
    <cellWatch r="G17671"/>
    <cellWatch r="G17672"/>
    <cellWatch r="G17673"/>
    <cellWatch r="G17674"/>
    <cellWatch r="G17675"/>
    <cellWatch r="G17676"/>
    <cellWatch r="G17677"/>
    <cellWatch r="G17678"/>
    <cellWatch r="G17679"/>
    <cellWatch r="G17680"/>
    <cellWatch r="G17681"/>
    <cellWatch r="G17682"/>
    <cellWatch r="G17683"/>
    <cellWatch r="G17684"/>
    <cellWatch r="G17685"/>
    <cellWatch r="G17686"/>
    <cellWatch r="G17687"/>
    <cellWatch r="G17688"/>
    <cellWatch r="G17689"/>
    <cellWatch r="G17690"/>
    <cellWatch r="G17691"/>
    <cellWatch r="G17692"/>
    <cellWatch r="G17693"/>
    <cellWatch r="G17694"/>
    <cellWatch r="G17695"/>
    <cellWatch r="G17696"/>
    <cellWatch r="G17697"/>
    <cellWatch r="G17698"/>
    <cellWatch r="G17699"/>
    <cellWatch r="G17700"/>
    <cellWatch r="G17701"/>
    <cellWatch r="G17702"/>
    <cellWatch r="G17703"/>
    <cellWatch r="G17704"/>
    <cellWatch r="G17705"/>
    <cellWatch r="G17706"/>
    <cellWatch r="G17707"/>
    <cellWatch r="G17708"/>
    <cellWatch r="G17709"/>
    <cellWatch r="G17710"/>
    <cellWatch r="G17711"/>
    <cellWatch r="G17712"/>
    <cellWatch r="G17713"/>
    <cellWatch r="G17714"/>
    <cellWatch r="G17715"/>
    <cellWatch r="G17716"/>
    <cellWatch r="G17717"/>
    <cellWatch r="G17718"/>
    <cellWatch r="G17719"/>
    <cellWatch r="G17720"/>
    <cellWatch r="G17721"/>
    <cellWatch r="G17722"/>
    <cellWatch r="G17723"/>
    <cellWatch r="G17724"/>
    <cellWatch r="G17725"/>
    <cellWatch r="G17726"/>
    <cellWatch r="G17727"/>
    <cellWatch r="G17728"/>
    <cellWatch r="G17729"/>
    <cellWatch r="G17730"/>
    <cellWatch r="G17731"/>
    <cellWatch r="G17732"/>
    <cellWatch r="G17733"/>
    <cellWatch r="G17734"/>
    <cellWatch r="G17735"/>
    <cellWatch r="G17736"/>
    <cellWatch r="G17737"/>
    <cellWatch r="G17738"/>
    <cellWatch r="G17739"/>
    <cellWatch r="G17740"/>
    <cellWatch r="G17741"/>
    <cellWatch r="G17742"/>
    <cellWatch r="G17743"/>
    <cellWatch r="G17744"/>
    <cellWatch r="G17745"/>
    <cellWatch r="G17746"/>
    <cellWatch r="G17747"/>
    <cellWatch r="G17748"/>
    <cellWatch r="G17749"/>
    <cellWatch r="G17750"/>
    <cellWatch r="G17751"/>
    <cellWatch r="G17752"/>
    <cellWatch r="G17753"/>
    <cellWatch r="G17754"/>
    <cellWatch r="G17755"/>
    <cellWatch r="G17756"/>
    <cellWatch r="G17757"/>
    <cellWatch r="G17758"/>
    <cellWatch r="G17759"/>
    <cellWatch r="G17760"/>
    <cellWatch r="G17761"/>
    <cellWatch r="G17762"/>
    <cellWatch r="G17763"/>
    <cellWatch r="G17764"/>
    <cellWatch r="G17765"/>
    <cellWatch r="G17766"/>
    <cellWatch r="G17767"/>
    <cellWatch r="G17768"/>
    <cellWatch r="G17769"/>
    <cellWatch r="G17770"/>
    <cellWatch r="G17771"/>
    <cellWatch r="G17772"/>
    <cellWatch r="G17773"/>
    <cellWatch r="G17774"/>
    <cellWatch r="G17775"/>
    <cellWatch r="G17776"/>
    <cellWatch r="G17777"/>
    <cellWatch r="G17778"/>
    <cellWatch r="G17779"/>
    <cellWatch r="G17780"/>
    <cellWatch r="G17781"/>
    <cellWatch r="G17782"/>
    <cellWatch r="G17783"/>
    <cellWatch r="G17784"/>
    <cellWatch r="G17785"/>
    <cellWatch r="G17786"/>
    <cellWatch r="G17787"/>
    <cellWatch r="G17788"/>
    <cellWatch r="G17789"/>
    <cellWatch r="G17790"/>
    <cellWatch r="G17791"/>
    <cellWatch r="G17792"/>
    <cellWatch r="G17793"/>
    <cellWatch r="G17794"/>
    <cellWatch r="G17795"/>
    <cellWatch r="G17796"/>
    <cellWatch r="G17797"/>
    <cellWatch r="G17798"/>
    <cellWatch r="G17799"/>
    <cellWatch r="G17800"/>
    <cellWatch r="G17801"/>
    <cellWatch r="G17802"/>
    <cellWatch r="G17803"/>
    <cellWatch r="G17804"/>
    <cellWatch r="G17805"/>
    <cellWatch r="G17806"/>
    <cellWatch r="G17807"/>
    <cellWatch r="G17808"/>
    <cellWatch r="G17809"/>
    <cellWatch r="G17810"/>
    <cellWatch r="G17811"/>
    <cellWatch r="G17812"/>
    <cellWatch r="G17813"/>
    <cellWatch r="G17814"/>
    <cellWatch r="G17815"/>
    <cellWatch r="G17816"/>
    <cellWatch r="G17817"/>
    <cellWatch r="G17818"/>
    <cellWatch r="G17819"/>
    <cellWatch r="G17820"/>
    <cellWatch r="G17821"/>
    <cellWatch r="G17822"/>
    <cellWatch r="G17823"/>
    <cellWatch r="G17824"/>
    <cellWatch r="G17825"/>
    <cellWatch r="G17826"/>
    <cellWatch r="G17827"/>
    <cellWatch r="G17828"/>
    <cellWatch r="G17829"/>
    <cellWatch r="G17830"/>
    <cellWatch r="G17831"/>
    <cellWatch r="G17832"/>
    <cellWatch r="G17833"/>
    <cellWatch r="G17834"/>
    <cellWatch r="G17835"/>
    <cellWatch r="G17836"/>
    <cellWatch r="G17837"/>
    <cellWatch r="G17838"/>
    <cellWatch r="G17839"/>
    <cellWatch r="G17840"/>
    <cellWatch r="G17841"/>
    <cellWatch r="G17842"/>
    <cellWatch r="G17843"/>
    <cellWatch r="G17844"/>
    <cellWatch r="G17845"/>
    <cellWatch r="G17846"/>
    <cellWatch r="G17847"/>
    <cellWatch r="G17848"/>
    <cellWatch r="G17849"/>
    <cellWatch r="G17850"/>
    <cellWatch r="G17851"/>
    <cellWatch r="G17852"/>
    <cellWatch r="G17853"/>
    <cellWatch r="G17854"/>
    <cellWatch r="G17855"/>
    <cellWatch r="G17856"/>
    <cellWatch r="G17857"/>
    <cellWatch r="G17858"/>
    <cellWatch r="G17859"/>
    <cellWatch r="G17860"/>
    <cellWatch r="G17861"/>
    <cellWatch r="G17862"/>
    <cellWatch r="G17863"/>
    <cellWatch r="G17864"/>
    <cellWatch r="G17865"/>
    <cellWatch r="G17866"/>
    <cellWatch r="G17867"/>
    <cellWatch r="G17868"/>
    <cellWatch r="G17869"/>
    <cellWatch r="G17870"/>
    <cellWatch r="G17871"/>
    <cellWatch r="G17872"/>
    <cellWatch r="G17873"/>
    <cellWatch r="G17874"/>
    <cellWatch r="G17875"/>
    <cellWatch r="G17876"/>
    <cellWatch r="G17877"/>
    <cellWatch r="G17878"/>
    <cellWatch r="G17879"/>
    <cellWatch r="G17880"/>
    <cellWatch r="G17881"/>
    <cellWatch r="G17882"/>
    <cellWatch r="G17883"/>
    <cellWatch r="G17884"/>
    <cellWatch r="G17885"/>
    <cellWatch r="G17886"/>
    <cellWatch r="G17887"/>
    <cellWatch r="G17888"/>
    <cellWatch r="G17889"/>
    <cellWatch r="G17890"/>
    <cellWatch r="G17891"/>
    <cellWatch r="G17892"/>
    <cellWatch r="G17893"/>
    <cellWatch r="G17894"/>
    <cellWatch r="G17895"/>
    <cellWatch r="G17896"/>
    <cellWatch r="G17897"/>
    <cellWatch r="G17898"/>
    <cellWatch r="G17899"/>
    <cellWatch r="G17900"/>
    <cellWatch r="G17901"/>
    <cellWatch r="G17902"/>
    <cellWatch r="G17903"/>
    <cellWatch r="G17904"/>
    <cellWatch r="G17905"/>
    <cellWatch r="G17906"/>
    <cellWatch r="G17907"/>
    <cellWatch r="G17908"/>
    <cellWatch r="G17909"/>
    <cellWatch r="G17910"/>
    <cellWatch r="G17911"/>
    <cellWatch r="G17912"/>
    <cellWatch r="G17913"/>
    <cellWatch r="G17914"/>
    <cellWatch r="G17915"/>
    <cellWatch r="G17916"/>
    <cellWatch r="G17917"/>
    <cellWatch r="G17918"/>
    <cellWatch r="G17919"/>
    <cellWatch r="G17920"/>
    <cellWatch r="G17921"/>
    <cellWatch r="G17922"/>
    <cellWatch r="G17923"/>
    <cellWatch r="G17924"/>
    <cellWatch r="G17925"/>
    <cellWatch r="G17926"/>
    <cellWatch r="G17927"/>
    <cellWatch r="G17928"/>
    <cellWatch r="G17929"/>
    <cellWatch r="G17930"/>
    <cellWatch r="G17931"/>
    <cellWatch r="G17932"/>
    <cellWatch r="G17933"/>
    <cellWatch r="G17934"/>
    <cellWatch r="G17935"/>
    <cellWatch r="G17936"/>
    <cellWatch r="G17937"/>
    <cellWatch r="G17938"/>
    <cellWatch r="G17939"/>
    <cellWatch r="G17940"/>
    <cellWatch r="G17941"/>
    <cellWatch r="G17942"/>
    <cellWatch r="G17943"/>
    <cellWatch r="G17944"/>
    <cellWatch r="G17945"/>
    <cellWatch r="G17946"/>
    <cellWatch r="G17947"/>
    <cellWatch r="G17948"/>
    <cellWatch r="G17949"/>
    <cellWatch r="G17950"/>
    <cellWatch r="G17951"/>
    <cellWatch r="G17952"/>
    <cellWatch r="G17953"/>
    <cellWatch r="G17954"/>
    <cellWatch r="G17955"/>
    <cellWatch r="G17956"/>
    <cellWatch r="G17957"/>
    <cellWatch r="G17958"/>
    <cellWatch r="G17959"/>
    <cellWatch r="G17960"/>
    <cellWatch r="G17961"/>
    <cellWatch r="G17962"/>
    <cellWatch r="G17963"/>
    <cellWatch r="G17964"/>
    <cellWatch r="G17965"/>
    <cellWatch r="G17966"/>
    <cellWatch r="G17967"/>
    <cellWatch r="G17968"/>
    <cellWatch r="G17969"/>
    <cellWatch r="G17970"/>
    <cellWatch r="G17971"/>
    <cellWatch r="G17972"/>
    <cellWatch r="G17973"/>
    <cellWatch r="G17974"/>
    <cellWatch r="G17975"/>
    <cellWatch r="G17976"/>
    <cellWatch r="G17977"/>
    <cellWatch r="G17978"/>
    <cellWatch r="G17979"/>
    <cellWatch r="G17980"/>
    <cellWatch r="G17981"/>
    <cellWatch r="G17982"/>
    <cellWatch r="G17983"/>
    <cellWatch r="G17984"/>
    <cellWatch r="G17985"/>
    <cellWatch r="G17986"/>
    <cellWatch r="G17987"/>
    <cellWatch r="G17988"/>
    <cellWatch r="G17989"/>
    <cellWatch r="G17990"/>
    <cellWatch r="G17991"/>
    <cellWatch r="G17992"/>
    <cellWatch r="G17993"/>
    <cellWatch r="G17994"/>
    <cellWatch r="G17995"/>
    <cellWatch r="G17996"/>
    <cellWatch r="G17997"/>
    <cellWatch r="G17998"/>
    <cellWatch r="G17999"/>
    <cellWatch r="G18000"/>
    <cellWatch r="G18001"/>
    <cellWatch r="G18002"/>
    <cellWatch r="G18003"/>
    <cellWatch r="G18004"/>
    <cellWatch r="G18005"/>
    <cellWatch r="G18006"/>
    <cellWatch r="G18007"/>
    <cellWatch r="G18008"/>
    <cellWatch r="G18009"/>
    <cellWatch r="G18010"/>
    <cellWatch r="G18011"/>
    <cellWatch r="G18012"/>
    <cellWatch r="G18013"/>
    <cellWatch r="G18014"/>
    <cellWatch r="G18015"/>
    <cellWatch r="G18016"/>
    <cellWatch r="G18017"/>
    <cellWatch r="G18018"/>
    <cellWatch r="G18019"/>
    <cellWatch r="G18020"/>
    <cellWatch r="G18021"/>
    <cellWatch r="G18022"/>
    <cellWatch r="G18023"/>
    <cellWatch r="G18024"/>
    <cellWatch r="G18025"/>
    <cellWatch r="G18026"/>
    <cellWatch r="G18027"/>
    <cellWatch r="G18028"/>
    <cellWatch r="G18029"/>
    <cellWatch r="G18030"/>
    <cellWatch r="G18031"/>
    <cellWatch r="G18032"/>
    <cellWatch r="G18033"/>
    <cellWatch r="G18034"/>
    <cellWatch r="G18035"/>
    <cellWatch r="G18036"/>
    <cellWatch r="G18037"/>
    <cellWatch r="G18038"/>
    <cellWatch r="G18039"/>
    <cellWatch r="G18040"/>
    <cellWatch r="G18041"/>
    <cellWatch r="G18042"/>
    <cellWatch r="G18043"/>
    <cellWatch r="G18044"/>
    <cellWatch r="G18045"/>
    <cellWatch r="G18046"/>
    <cellWatch r="G18047"/>
    <cellWatch r="G18048"/>
    <cellWatch r="G18049"/>
    <cellWatch r="G18050"/>
    <cellWatch r="G18051"/>
    <cellWatch r="G18052"/>
    <cellWatch r="G18053"/>
    <cellWatch r="G18054"/>
    <cellWatch r="G18055"/>
    <cellWatch r="G18056"/>
    <cellWatch r="G18057"/>
    <cellWatch r="G18058"/>
    <cellWatch r="G18059"/>
    <cellWatch r="G18060"/>
    <cellWatch r="G18061"/>
    <cellWatch r="G18062"/>
    <cellWatch r="G18063"/>
    <cellWatch r="G18064"/>
    <cellWatch r="G18065"/>
    <cellWatch r="G18066"/>
    <cellWatch r="G18067"/>
    <cellWatch r="G18068"/>
    <cellWatch r="G18069"/>
    <cellWatch r="G18070"/>
    <cellWatch r="G18071"/>
    <cellWatch r="G18072"/>
    <cellWatch r="G18073"/>
    <cellWatch r="G18074"/>
    <cellWatch r="G18075"/>
    <cellWatch r="G18076"/>
    <cellWatch r="G18077"/>
    <cellWatch r="G18078"/>
    <cellWatch r="G18079"/>
    <cellWatch r="G18080"/>
    <cellWatch r="G18081"/>
    <cellWatch r="G18082"/>
    <cellWatch r="G18083"/>
    <cellWatch r="G18084"/>
    <cellWatch r="G18085"/>
    <cellWatch r="G18086"/>
    <cellWatch r="G18087"/>
    <cellWatch r="G18088"/>
    <cellWatch r="G18089"/>
    <cellWatch r="G18090"/>
    <cellWatch r="G18091"/>
    <cellWatch r="G18092"/>
    <cellWatch r="G18093"/>
    <cellWatch r="G18094"/>
    <cellWatch r="G18095"/>
    <cellWatch r="G18096"/>
    <cellWatch r="G18097"/>
    <cellWatch r="G18098"/>
    <cellWatch r="G18099"/>
    <cellWatch r="G18100"/>
    <cellWatch r="G18101"/>
    <cellWatch r="G18102"/>
    <cellWatch r="G18103"/>
    <cellWatch r="G18104"/>
    <cellWatch r="G18105"/>
    <cellWatch r="G18106"/>
    <cellWatch r="G18107"/>
    <cellWatch r="G18108"/>
    <cellWatch r="G18109"/>
    <cellWatch r="G18110"/>
    <cellWatch r="G18111"/>
    <cellWatch r="G18112"/>
    <cellWatch r="G18113"/>
    <cellWatch r="G18114"/>
    <cellWatch r="G18115"/>
    <cellWatch r="G18116"/>
    <cellWatch r="G18117"/>
    <cellWatch r="G18118"/>
    <cellWatch r="G18119"/>
    <cellWatch r="G18120"/>
    <cellWatch r="G18121"/>
    <cellWatch r="G18122"/>
    <cellWatch r="G18123"/>
    <cellWatch r="G18124"/>
    <cellWatch r="G18125"/>
    <cellWatch r="G18126"/>
    <cellWatch r="G18127"/>
    <cellWatch r="G18128"/>
    <cellWatch r="G18129"/>
    <cellWatch r="G18130"/>
    <cellWatch r="G18131"/>
    <cellWatch r="G18132"/>
    <cellWatch r="G18133"/>
    <cellWatch r="G18134"/>
    <cellWatch r="G18135"/>
    <cellWatch r="G18136"/>
    <cellWatch r="G18137"/>
    <cellWatch r="G18138"/>
    <cellWatch r="G18139"/>
    <cellWatch r="G18140"/>
    <cellWatch r="G18141"/>
    <cellWatch r="G18142"/>
    <cellWatch r="G18143"/>
    <cellWatch r="G18144"/>
    <cellWatch r="G18145"/>
    <cellWatch r="G18146"/>
    <cellWatch r="G18147"/>
    <cellWatch r="G18148"/>
    <cellWatch r="G18149"/>
    <cellWatch r="G18150"/>
    <cellWatch r="G18151"/>
    <cellWatch r="G18152"/>
    <cellWatch r="G18153"/>
    <cellWatch r="G18154"/>
    <cellWatch r="G18155"/>
    <cellWatch r="G18156"/>
    <cellWatch r="G18157"/>
    <cellWatch r="G18158"/>
    <cellWatch r="G18159"/>
    <cellWatch r="G18160"/>
    <cellWatch r="G18161"/>
    <cellWatch r="G18162"/>
    <cellWatch r="G18163"/>
    <cellWatch r="G18164"/>
    <cellWatch r="G18165"/>
    <cellWatch r="G18166"/>
    <cellWatch r="G18167"/>
    <cellWatch r="G18168"/>
    <cellWatch r="G18169"/>
    <cellWatch r="G18170"/>
    <cellWatch r="G18171"/>
    <cellWatch r="G18172"/>
    <cellWatch r="G18173"/>
    <cellWatch r="G18174"/>
    <cellWatch r="G18175"/>
    <cellWatch r="G18176"/>
    <cellWatch r="G18177"/>
    <cellWatch r="G18178"/>
    <cellWatch r="G18179"/>
    <cellWatch r="G18180"/>
    <cellWatch r="G18181"/>
    <cellWatch r="G18182"/>
    <cellWatch r="G18183"/>
    <cellWatch r="G18184"/>
    <cellWatch r="G18185"/>
    <cellWatch r="G18186"/>
    <cellWatch r="G18187"/>
    <cellWatch r="G18188"/>
    <cellWatch r="G18189"/>
    <cellWatch r="G18190"/>
    <cellWatch r="G18191"/>
    <cellWatch r="G18192"/>
    <cellWatch r="G18193"/>
    <cellWatch r="G18194"/>
    <cellWatch r="G18195"/>
    <cellWatch r="G18196"/>
    <cellWatch r="G18197"/>
    <cellWatch r="G18198"/>
    <cellWatch r="G18199"/>
    <cellWatch r="G18200"/>
    <cellWatch r="G18201"/>
    <cellWatch r="G18202"/>
    <cellWatch r="G18203"/>
    <cellWatch r="G18204"/>
    <cellWatch r="G18205"/>
    <cellWatch r="G18206"/>
    <cellWatch r="G18207"/>
    <cellWatch r="G18208"/>
    <cellWatch r="G18209"/>
    <cellWatch r="G18210"/>
    <cellWatch r="G18211"/>
    <cellWatch r="G18212"/>
    <cellWatch r="G18213"/>
    <cellWatch r="G18214"/>
    <cellWatch r="G18215"/>
    <cellWatch r="G18216"/>
    <cellWatch r="G18217"/>
    <cellWatch r="G18218"/>
    <cellWatch r="G18219"/>
    <cellWatch r="G18220"/>
    <cellWatch r="G18221"/>
    <cellWatch r="G18222"/>
    <cellWatch r="G18223"/>
    <cellWatch r="G18224"/>
    <cellWatch r="G18225"/>
    <cellWatch r="G18226"/>
    <cellWatch r="G18227"/>
    <cellWatch r="G18228"/>
    <cellWatch r="G18229"/>
    <cellWatch r="G18230"/>
    <cellWatch r="G18231"/>
    <cellWatch r="G18232"/>
    <cellWatch r="G18233"/>
    <cellWatch r="G18234"/>
    <cellWatch r="G18235"/>
    <cellWatch r="G18236"/>
    <cellWatch r="G18237"/>
    <cellWatch r="G18238"/>
    <cellWatch r="G18239"/>
    <cellWatch r="G18240"/>
    <cellWatch r="G18241"/>
    <cellWatch r="G18242"/>
    <cellWatch r="G18243"/>
    <cellWatch r="G18244"/>
    <cellWatch r="G18245"/>
    <cellWatch r="G18246"/>
    <cellWatch r="G18247"/>
    <cellWatch r="G18248"/>
    <cellWatch r="G18249"/>
    <cellWatch r="G18250"/>
    <cellWatch r="G18251"/>
    <cellWatch r="G18252"/>
    <cellWatch r="G18253"/>
    <cellWatch r="G18254"/>
    <cellWatch r="G18255"/>
    <cellWatch r="G18256"/>
    <cellWatch r="G18257"/>
    <cellWatch r="G18258"/>
    <cellWatch r="G18259"/>
    <cellWatch r="G18260"/>
    <cellWatch r="G18261"/>
    <cellWatch r="G18262"/>
    <cellWatch r="G18263"/>
    <cellWatch r="G18264"/>
    <cellWatch r="G18265"/>
    <cellWatch r="G18266"/>
    <cellWatch r="G18267"/>
    <cellWatch r="G18268"/>
    <cellWatch r="G18269"/>
    <cellWatch r="G18270"/>
    <cellWatch r="G18271"/>
    <cellWatch r="G18272"/>
    <cellWatch r="G18273"/>
    <cellWatch r="G18274"/>
    <cellWatch r="G18275"/>
    <cellWatch r="G18276"/>
    <cellWatch r="G18277"/>
    <cellWatch r="G18278"/>
    <cellWatch r="G18279"/>
    <cellWatch r="G18280"/>
    <cellWatch r="G18281"/>
    <cellWatch r="G18282"/>
    <cellWatch r="G18283"/>
    <cellWatch r="G18284"/>
    <cellWatch r="G18285"/>
    <cellWatch r="G18286"/>
    <cellWatch r="G18287"/>
    <cellWatch r="G18288"/>
    <cellWatch r="G18289"/>
    <cellWatch r="G18290"/>
    <cellWatch r="G18291"/>
    <cellWatch r="G18292"/>
    <cellWatch r="G18293"/>
    <cellWatch r="G18294"/>
    <cellWatch r="G18295"/>
    <cellWatch r="G18296"/>
    <cellWatch r="G18297"/>
    <cellWatch r="G18298"/>
    <cellWatch r="G18299"/>
    <cellWatch r="G18300"/>
    <cellWatch r="G18301"/>
    <cellWatch r="G18302"/>
    <cellWatch r="G18303"/>
    <cellWatch r="G18304"/>
    <cellWatch r="G18305"/>
    <cellWatch r="G18306"/>
    <cellWatch r="G18307"/>
    <cellWatch r="G18308"/>
    <cellWatch r="G18309"/>
    <cellWatch r="G18310"/>
    <cellWatch r="G18311"/>
    <cellWatch r="G18312"/>
    <cellWatch r="G18313"/>
    <cellWatch r="G18314"/>
    <cellWatch r="G18315"/>
    <cellWatch r="G18316"/>
    <cellWatch r="G18317"/>
    <cellWatch r="G18318"/>
    <cellWatch r="G18319"/>
    <cellWatch r="G18320"/>
    <cellWatch r="G18321"/>
    <cellWatch r="G18322"/>
    <cellWatch r="G18323"/>
    <cellWatch r="G18324"/>
    <cellWatch r="G18325"/>
    <cellWatch r="G18326"/>
    <cellWatch r="G18327"/>
    <cellWatch r="G18328"/>
    <cellWatch r="G18329"/>
    <cellWatch r="G18330"/>
    <cellWatch r="G18331"/>
    <cellWatch r="G18332"/>
    <cellWatch r="G18333"/>
    <cellWatch r="G18334"/>
    <cellWatch r="G18335"/>
    <cellWatch r="G18336"/>
    <cellWatch r="G18337"/>
    <cellWatch r="G18338"/>
    <cellWatch r="G18339"/>
    <cellWatch r="G18340"/>
    <cellWatch r="G18341"/>
    <cellWatch r="G18342"/>
    <cellWatch r="G18343"/>
    <cellWatch r="G18344"/>
    <cellWatch r="G18345"/>
    <cellWatch r="G18346"/>
    <cellWatch r="G18347"/>
    <cellWatch r="G18348"/>
    <cellWatch r="G18349"/>
    <cellWatch r="G18350"/>
    <cellWatch r="G18351"/>
    <cellWatch r="G18352"/>
    <cellWatch r="G18353"/>
    <cellWatch r="G18354"/>
    <cellWatch r="G18355"/>
    <cellWatch r="G18356"/>
    <cellWatch r="G18357"/>
    <cellWatch r="G18358"/>
    <cellWatch r="G18359"/>
    <cellWatch r="G18360"/>
    <cellWatch r="G18361"/>
    <cellWatch r="G18362"/>
    <cellWatch r="G18363"/>
    <cellWatch r="G18364"/>
    <cellWatch r="G18365"/>
    <cellWatch r="G18366"/>
    <cellWatch r="G18367"/>
    <cellWatch r="G18368"/>
    <cellWatch r="G18369"/>
    <cellWatch r="G18370"/>
    <cellWatch r="G18371"/>
    <cellWatch r="G18372"/>
    <cellWatch r="G18373"/>
    <cellWatch r="G18374"/>
    <cellWatch r="G18375"/>
    <cellWatch r="G18376"/>
    <cellWatch r="G18377"/>
    <cellWatch r="G18378"/>
    <cellWatch r="G18379"/>
    <cellWatch r="G18380"/>
    <cellWatch r="G18381"/>
    <cellWatch r="G18382"/>
    <cellWatch r="G18383"/>
    <cellWatch r="G18384"/>
    <cellWatch r="G18385"/>
    <cellWatch r="G18386"/>
    <cellWatch r="G18387"/>
    <cellWatch r="G18388"/>
    <cellWatch r="G18389"/>
    <cellWatch r="G18390"/>
    <cellWatch r="G18391"/>
    <cellWatch r="G18392"/>
    <cellWatch r="G18393"/>
    <cellWatch r="G18394"/>
    <cellWatch r="G18395"/>
    <cellWatch r="G18396"/>
    <cellWatch r="G18397"/>
    <cellWatch r="G18398"/>
    <cellWatch r="G18399"/>
    <cellWatch r="G18400"/>
    <cellWatch r="G18401"/>
    <cellWatch r="G18402"/>
    <cellWatch r="G18403"/>
    <cellWatch r="G18404"/>
    <cellWatch r="G18405"/>
    <cellWatch r="G18406"/>
    <cellWatch r="G18407"/>
    <cellWatch r="G18408"/>
    <cellWatch r="G18409"/>
    <cellWatch r="G18410"/>
    <cellWatch r="G18411"/>
    <cellWatch r="G18412"/>
    <cellWatch r="G18413"/>
    <cellWatch r="G18414"/>
    <cellWatch r="G18415"/>
    <cellWatch r="G18416"/>
    <cellWatch r="G18417"/>
    <cellWatch r="G18418"/>
    <cellWatch r="G18419"/>
    <cellWatch r="G18420"/>
    <cellWatch r="G18421"/>
    <cellWatch r="G18422"/>
    <cellWatch r="G18423"/>
    <cellWatch r="G18424"/>
    <cellWatch r="G18425"/>
    <cellWatch r="G18426"/>
    <cellWatch r="G18427"/>
    <cellWatch r="G18428"/>
    <cellWatch r="G18429"/>
    <cellWatch r="G18430"/>
    <cellWatch r="G18431"/>
    <cellWatch r="G18432"/>
    <cellWatch r="G18433"/>
    <cellWatch r="G18434"/>
    <cellWatch r="G18435"/>
    <cellWatch r="G18436"/>
    <cellWatch r="G18437"/>
    <cellWatch r="G18438"/>
    <cellWatch r="G18439"/>
    <cellWatch r="G18440"/>
    <cellWatch r="G18441"/>
    <cellWatch r="G18442"/>
    <cellWatch r="G18443"/>
    <cellWatch r="G18444"/>
    <cellWatch r="G18445"/>
    <cellWatch r="G18446"/>
    <cellWatch r="G18447"/>
    <cellWatch r="G18448"/>
    <cellWatch r="G18449"/>
    <cellWatch r="G18450"/>
    <cellWatch r="G18451"/>
    <cellWatch r="G18452"/>
    <cellWatch r="G18453"/>
    <cellWatch r="G18454"/>
    <cellWatch r="G18455"/>
    <cellWatch r="G18456"/>
    <cellWatch r="G18457"/>
    <cellWatch r="G18458"/>
    <cellWatch r="G18459"/>
    <cellWatch r="G18460"/>
    <cellWatch r="G18461"/>
    <cellWatch r="G18462"/>
    <cellWatch r="G18463"/>
    <cellWatch r="G18464"/>
    <cellWatch r="G18465"/>
    <cellWatch r="G18466"/>
    <cellWatch r="G18467"/>
    <cellWatch r="G18468"/>
    <cellWatch r="G18469"/>
    <cellWatch r="G18470"/>
    <cellWatch r="G18471"/>
    <cellWatch r="G18472"/>
    <cellWatch r="G18473"/>
    <cellWatch r="G18474"/>
    <cellWatch r="G18475"/>
    <cellWatch r="G18476"/>
    <cellWatch r="G18477"/>
    <cellWatch r="G18478"/>
    <cellWatch r="G18479"/>
    <cellWatch r="G18480"/>
    <cellWatch r="G18481"/>
    <cellWatch r="G18482"/>
    <cellWatch r="G18483"/>
    <cellWatch r="G18484"/>
    <cellWatch r="G18485"/>
    <cellWatch r="G18486"/>
    <cellWatch r="G18487"/>
    <cellWatch r="G18488"/>
    <cellWatch r="G18489"/>
    <cellWatch r="G18490"/>
    <cellWatch r="G18491"/>
    <cellWatch r="G18492"/>
    <cellWatch r="G18493"/>
    <cellWatch r="G18494"/>
    <cellWatch r="G18495"/>
    <cellWatch r="G18496"/>
    <cellWatch r="G18497"/>
    <cellWatch r="G18498"/>
    <cellWatch r="G18499"/>
    <cellWatch r="G18500"/>
    <cellWatch r="G18501"/>
    <cellWatch r="G18502"/>
    <cellWatch r="G18503"/>
    <cellWatch r="G18504"/>
    <cellWatch r="G18505"/>
    <cellWatch r="G18506"/>
    <cellWatch r="G18507"/>
    <cellWatch r="G18508"/>
    <cellWatch r="G18509"/>
    <cellWatch r="G18510"/>
    <cellWatch r="G18511"/>
    <cellWatch r="G18512"/>
    <cellWatch r="G18513"/>
    <cellWatch r="G18514"/>
    <cellWatch r="G18515"/>
    <cellWatch r="G18516"/>
    <cellWatch r="G18517"/>
    <cellWatch r="G18518"/>
    <cellWatch r="G18519"/>
    <cellWatch r="G18520"/>
    <cellWatch r="G18521"/>
    <cellWatch r="G18522"/>
    <cellWatch r="G18523"/>
    <cellWatch r="G18524"/>
    <cellWatch r="G18525"/>
    <cellWatch r="G18526"/>
    <cellWatch r="G18527"/>
    <cellWatch r="G18528"/>
    <cellWatch r="G18529"/>
    <cellWatch r="G18530"/>
    <cellWatch r="G18531"/>
    <cellWatch r="G18532"/>
    <cellWatch r="G18533"/>
    <cellWatch r="G18534"/>
    <cellWatch r="G18535"/>
    <cellWatch r="G18536"/>
    <cellWatch r="G18537"/>
    <cellWatch r="G18538"/>
    <cellWatch r="G18539"/>
    <cellWatch r="G18540"/>
    <cellWatch r="G18541"/>
    <cellWatch r="G18542"/>
    <cellWatch r="G18543"/>
    <cellWatch r="G18544"/>
    <cellWatch r="G18545"/>
    <cellWatch r="G18546"/>
    <cellWatch r="G18547"/>
    <cellWatch r="G18548"/>
    <cellWatch r="G18549"/>
    <cellWatch r="G18550"/>
    <cellWatch r="G18551"/>
    <cellWatch r="G18552"/>
    <cellWatch r="G18553"/>
    <cellWatch r="G18554"/>
    <cellWatch r="G18555"/>
    <cellWatch r="G18556"/>
    <cellWatch r="G18557"/>
    <cellWatch r="G18558"/>
    <cellWatch r="G18559"/>
    <cellWatch r="G18560"/>
    <cellWatch r="G18561"/>
    <cellWatch r="G18562"/>
    <cellWatch r="G18563"/>
    <cellWatch r="G18564"/>
    <cellWatch r="G18565"/>
    <cellWatch r="G18566"/>
    <cellWatch r="G18567"/>
    <cellWatch r="G18568"/>
    <cellWatch r="G18569"/>
    <cellWatch r="G18570"/>
    <cellWatch r="G18571"/>
    <cellWatch r="G18572"/>
    <cellWatch r="G18573"/>
    <cellWatch r="G18574"/>
    <cellWatch r="G18575"/>
    <cellWatch r="G18576"/>
    <cellWatch r="G18577"/>
    <cellWatch r="G18578"/>
    <cellWatch r="G18579"/>
    <cellWatch r="G18580"/>
    <cellWatch r="G18581"/>
    <cellWatch r="G18582"/>
    <cellWatch r="G18583"/>
    <cellWatch r="G18584"/>
    <cellWatch r="G18585"/>
    <cellWatch r="G18586"/>
    <cellWatch r="G18587"/>
    <cellWatch r="G18588"/>
    <cellWatch r="G18589"/>
    <cellWatch r="G18590"/>
    <cellWatch r="G18591"/>
    <cellWatch r="G18592"/>
    <cellWatch r="G18593"/>
    <cellWatch r="G18594"/>
    <cellWatch r="G18595"/>
    <cellWatch r="G18596"/>
    <cellWatch r="G18597"/>
    <cellWatch r="G18598"/>
    <cellWatch r="G18599"/>
    <cellWatch r="G18600"/>
    <cellWatch r="G18601"/>
    <cellWatch r="G18602"/>
    <cellWatch r="G18603"/>
    <cellWatch r="G18604"/>
    <cellWatch r="G18605"/>
    <cellWatch r="G18606"/>
    <cellWatch r="G18607"/>
    <cellWatch r="G18608"/>
    <cellWatch r="G18609"/>
    <cellWatch r="G18610"/>
    <cellWatch r="G18611"/>
    <cellWatch r="G18612"/>
    <cellWatch r="G18613"/>
    <cellWatch r="G18614"/>
    <cellWatch r="G18615"/>
    <cellWatch r="G18616"/>
    <cellWatch r="G18617"/>
    <cellWatch r="G18618"/>
    <cellWatch r="G18619"/>
    <cellWatch r="G18620"/>
    <cellWatch r="G18621"/>
    <cellWatch r="G18622"/>
    <cellWatch r="G18623"/>
    <cellWatch r="G18624"/>
    <cellWatch r="G18625"/>
    <cellWatch r="G18626"/>
    <cellWatch r="G18627"/>
    <cellWatch r="G18628"/>
    <cellWatch r="G18629"/>
    <cellWatch r="G18630"/>
    <cellWatch r="G18631"/>
    <cellWatch r="G18632"/>
    <cellWatch r="G18633"/>
    <cellWatch r="G18634"/>
    <cellWatch r="G18635"/>
    <cellWatch r="G18636"/>
    <cellWatch r="G18637"/>
    <cellWatch r="G18638"/>
    <cellWatch r="G18639"/>
    <cellWatch r="G18640"/>
    <cellWatch r="G18641"/>
    <cellWatch r="G18642"/>
    <cellWatch r="G18643"/>
    <cellWatch r="G18644"/>
    <cellWatch r="G18645"/>
    <cellWatch r="G18646"/>
    <cellWatch r="G18647"/>
    <cellWatch r="G18648"/>
    <cellWatch r="G18649"/>
    <cellWatch r="G18650"/>
    <cellWatch r="G18651"/>
    <cellWatch r="G18652"/>
    <cellWatch r="G18653"/>
    <cellWatch r="G18654"/>
    <cellWatch r="G18655"/>
    <cellWatch r="G18656"/>
    <cellWatch r="G18657"/>
    <cellWatch r="G18658"/>
    <cellWatch r="G18659"/>
    <cellWatch r="G18660"/>
    <cellWatch r="G18661"/>
    <cellWatch r="G18662"/>
    <cellWatch r="G18663"/>
    <cellWatch r="G18664"/>
    <cellWatch r="G18665"/>
    <cellWatch r="G18666"/>
    <cellWatch r="G18667"/>
    <cellWatch r="G18668"/>
    <cellWatch r="G18669"/>
    <cellWatch r="G18670"/>
    <cellWatch r="G18671"/>
    <cellWatch r="G18672"/>
    <cellWatch r="G18673"/>
    <cellWatch r="G18674"/>
    <cellWatch r="G18675"/>
    <cellWatch r="G18676"/>
    <cellWatch r="G18677"/>
    <cellWatch r="G18678"/>
    <cellWatch r="G18679"/>
    <cellWatch r="G18680"/>
    <cellWatch r="G18681"/>
    <cellWatch r="G18682"/>
    <cellWatch r="G18683"/>
    <cellWatch r="G18684"/>
    <cellWatch r="G18685"/>
    <cellWatch r="G18686"/>
    <cellWatch r="G18687"/>
    <cellWatch r="G18688"/>
    <cellWatch r="G18689"/>
    <cellWatch r="G18690"/>
    <cellWatch r="G18691"/>
    <cellWatch r="G18692"/>
    <cellWatch r="G18693"/>
    <cellWatch r="G18694"/>
    <cellWatch r="G18695"/>
    <cellWatch r="G18696"/>
    <cellWatch r="G18697"/>
    <cellWatch r="G18698"/>
    <cellWatch r="G18699"/>
    <cellWatch r="G18700"/>
    <cellWatch r="G18701"/>
    <cellWatch r="G18702"/>
    <cellWatch r="G18703"/>
    <cellWatch r="G18704"/>
    <cellWatch r="G18705"/>
    <cellWatch r="G18706"/>
    <cellWatch r="G18707"/>
    <cellWatch r="G18708"/>
    <cellWatch r="G18709"/>
    <cellWatch r="G18710"/>
    <cellWatch r="G18711"/>
    <cellWatch r="G18712"/>
    <cellWatch r="G18713"/>
    <cellWatch r="G18714"/>
    <cellWatch r="G18715"/>
    <cellWatch r="G18716"/>
    <cellWatch r="G18717"/>
    <cellWatch r="G18718"/>
    <cellWatch r="G18719"/>
    <cellWatch r="G18720"/>
    <cellWatch r="G18721"/>
    <cellWatch r="G18722"/>
    <cellWatch r="G18723"/>
    <cellWatch r="G18724"/>
    <cellWatch r="G18725"/>
    <cellWatch r="G18726"/>
    <cellWatch r="G18727"/>
    <cellWatch r="G18728"/>
    <cellWatch r="G18729"/>
    <cellWatch r="G18730"/>
    <cellWatch r="G18731"/>
    <cellWatch r="G18732"/>
    <cellWatch r="G18733"/>
    <cellWatch r="G18734"/>
    <cellWatch r="G18735"/>
    <cellWatch r="G18736"/>
    <cellWatch r="G18737"/>
    <cellWatch r="G18738"/>
    <cellWatch r="G18739"/>
    <cellWatch r="G18740"/>
    <cellWatch r="G18741"/>
    <cellWatch r="G18742"/>
    <cellWatch r="G18743"/>
    <cellWatch r="G18744"/>
    <cellWatch r="G18745"/>
    <cellWatch r="G18746"/>
    <cellWatch r="G18747"/>
    <cellWatch r="G18748"/>
    <cellWatch r="G18749"/>
    <cellWatch r="G18750"/>
    <cellWatch r="G18751"/>
    <cellWatch r="G18752"/>
    <cellWatch r="G18753"/>
    <cellWatch r="G18754"/>
    <cellWatch r="G18755"/>
    <cellWatch r="G18756"/>
    <cellWatch r="G18757"/>
    <cellWatch r="G18758"/>
    <cellWatch r="G18759"/>
    <cellWatch r="G18760"/>
    <cellWatch r="G18761"/>
    <cellWatch r="G18762"/>
    <cellWatch r="G18763"/>
    <cellWatch r="G18764"/>
    <cellWatch r="G18765"/>
    <cellWatch r="G18766"/>
    <cellWatch r="G18767"/>
    <cellWatch r="G18768"/>
    <cellWatch r="G18769"/>
    <cellWatch r="G18770"/>
    <cellWatch r="G18771"/>
    <cellWatch r="G18772"/>
    <cellWatch r="G18773"/>
    <cellWatch r="G18774"/>
    <cellWatch r="G18775"/>
    <cellWatch r="G18776"/>
    <cellWatch r="G18777"/>
    <cellWatch r="G18778"/>
    <cellWatch r="G18779"/>
    <cellWatch r="G18780"/>
    <cellWatch r="G18781"/>
    <cellWatch r="G18782"/>
    <cellWatch r="G18783"/>
    <cellWatch r="G18784"/>
    <cellWatch r="G18785"/>
    <cellWatch r="G18786"/>
    <cellWatch r="G18787"/>
    <cellWatch r="G18788"/>
    <cellWatch r="G18789"/>
    <cellWatch r="G18790"/>
    <cellWatch r="G18791"/>
    <cellWatch r="G18792"/>
    <cellWatch r="G18793"/>
    <cellWatch r="G18794"/>
    <cellWatch r="G18795"/>
    <cellWatch r="G18796"/>
    <cellWatch r="G18797"/>
    <cellWatch r="G18798"/>
    <cellWatch r="G18799"/>
    <cellWatch r="G18800"/>
    <cellWatch r="G18801"/>
    <cellWatch r="G18802"/>
    <cellWatch r="G18803"/>
    <cellWatch r="G18804"/>
    <cellWatch r="G18805"/>
    <cellWatch r="G18806"/>
    <cellWatch r="G18807"/>
    <cellWatch r="G18808"/>
    <cellWatch r="G18809"/>
    <cellWatch r="G18810"/>
    <cellWatch r="G18811"/>
    <cellWatch r="G18812"/>
    <cellWatch r="G18813"/>
    <cellWatch r="G18814"/>
    <cellWatch r="G18815"/>
    <cellWatch r="G18816"/>
    <cellWatch r="G18817"/>
    <cellWatch r="G18818"/>
    <cellWatch r="G18819"/>
    <cellWatch r="G18820"/>
    <cellWatch r="G18821"/>
    <cellWatch r="G18822"/>
    <cellWatch r="G18823"/>
    <cellWatch r="G18824"/>
    <cellWatch r="G18825"/>
    <cellWatch r="G18826"/>
    <cellWatch r="G18827"/>
    <cellWatch r="G18828"/>
    <cellWatch r="G18829"/>
    <cellWatch r="G18830"/>
    <cellWatch r="G18831"/>
    <cellWatch r="G18832"/>
    <cellWatch r="G18833"/>
    <cellWatch r="G18834"/>
    <cellWatch r="G18835"/>
    <cellWatch r="G18836"/>
    <cellWatch r="G18837"/>
    <cellWatch r="G18838"/>
    <cellWatch r="G18839"/>
    <cellWatch r="G18840"/>
    <cellWatch r="G18841"/>
    <cellWatch r="G18842"/>
    <cellWatch r="G18843"/>
    <cellWatch r="G18844"/>
    <cellWatch r="G18845"/>
    <cellWatch r="G18846"/>
    <cellWatch r="G18847"/>
    <cellWatch r="G18848"/>
    <cellWatch r="G18849"/>
    <cellWatch r="G18850"/>
    <cellWatch r="G18851"/>
    <cellWatch r="G18852"/>
    <cellWatch r="G18853"/>
    <cellWatch r="G18854"/>
    <cellWatch r="G18855"/>
    <cellWatch r="G18856"/>
    <cellWatch r="G18857"/>
    <cellWatch r="G18858"/>
    <cellWatch r="G18859"/>
    <cellWatch r="G18860"/>
    <cellWatch r="G18861"/>
    <cellWatch r="G18862"/>
    <cellWatch r="G18863"/>
    <cellWatch r="G18864"/>
    <cellWatch r="G18865"/>
    <cellWatch r="G18866"/>
    <cellWatch r="G18867"/>
    <cellWatch r="G18868"/>
    <cellWatch r="G18869"/>
    <cellWatch r="G18870"/>
    <cellWatch r="G18871"/>
    <cellWatch r="G18872"/>
    <cellWatch r="G18873"/>
    <cellWatch r="G18874"/>
    <cellWatch r="G18875"/>
    <cellWatch r="G18876"/>
    <cellWatch r="G18877"/>
    <cellWatch r="G18878"/>
    <cellWatch r="G18879"/>
    <cellWatch r="G18880"/>
    <cellWatch r="G18881"/>
    <cellWatch r="G18882"/>
    <cellWatch r="G18883"/>
    <cellWatch r="G18884"/>
    <cellWatch r="G18885"/>
    <cellWatch r="G18886"/>
    <cellWatch r="G18887"/>
    <cellWatch r="G18888"/>
    <cellWatch r="G18889"/>
    <cellWatch r="G18890"/>
    <cellWatch r="G18891"/>
    <cellWatch r="G18892"/>
    <cellWatch r="G18893"/>
    <cellWatch r="G18894"/>
    <cellWatch r="G18895"/>
    <cellWatch r="G18896"/>
    <cellWatch r="G18897"/>
    <cellWatch r="G18898"/>
    <cellWatch r="G18899"/>
    <cellWatch r="G18900"/>
    <cellWatch r="G18901"/>
    <cellWatch r="G18902"/>
    <cellWatch r="G18903"/>
    <cellWatch r="G18904"/>
    <cellWatch r="G18905"/>
    <cellWatch r="G18906"/>
    <cellWatch r="G18907"/>
    <cellWatch r="G18908"/>
    <cellWatch r="G18909"/>
    <cellWatch r="G18910"/>
    <cellWatch r="G18911"/>
    <cellWatch r="G18912"/>
    <cellWatch r="G18913"/>
    <cellWatch r="G18914"/>
    <cellWatch r="G18915"/>
    <cellWatch r="G18916"/>
    <cellWatch r="G18917"/>
    <cellWatch r="G18918"/>
    <cellWatch r="G18919"/>
    <cellWatch r="G18920"/>
    <cellWatch r="G18921"/>
    <cellWatch r="G18922"/>
    <cellWatch r="G18923"/>
    <cellWatch r="G18924"/>
    <cellWatch r="G18925"/>
    <cellWatch r="G18926"/>
    <cellWatch r="G18927"/>
    <cellWatch r="G18928"/>
    <cellWatch r="G18929"/>
    <cellWatch r="G18930"/>
    <cellWatch r="G18931"/>
    <cellWatch r="G18932"/>
    <cellWatch r="G18933"/>
    <cellWatch r="G18934"/>
    <cellWatch r="G18935"/>
    <cellWatch r="G18936"/>
    <cellWatch r="G18937"/>
    <cellWatch r="G18938"/>
    <cellWatch r="G18939"/>
    <cellWatch r="G18940"/>
    <cellWatch r="G18941"/>
    <cellWatch r="G18942"/>
    <cellWatch r="G18943"/>
    <cellWatch r="G18944"/>
    <cellWatch r="G18945"/>
    <cellWatch r="G18946"/>
    <cellWatch r="G18947"/>
    <cellWatch r="G18948"/>
    <cellWatch r="G18949"/>
    <cellWatch r="G18950"/>
    <cellWatch r="G18951"/>
    <cellWatch r="G18952"/>
    <cellWatch r="G18953"/>
    <cellWatch r="G18954"/>
    <cellWatch r="G18955"/>
    <cellWatch r="G18956"/>
    <cellWatch r="G18957"/>
    <cellWatch r="G18958"/>
    <cellWatch r="G18959"/>
    <cellWatch r="G18960"/>
    <cellWatch r="G18961"/>
    <cellWatch r="G18962"/>
    <cellWatch r="G18963"/>
    <cellWatch r="G18964"/>
    <cellWatch r="G18965"/>
    <cellWatch r="G18966"/>
    <cellWatch r="G18967"/>
    <cellWatch r="G18968"/>
    <cellWatch r="G18969"/>
    <cellWatch r="G18970"/>
    <cellWatch r="G18971"/>
    <cellWatch r="G18972"/>
    <cellWatch r="G18973"/>
    <cellWatch r="G18974"/>
    <cellWatch r="G18975"/>
    <cellWatch r="G18976"/>
    <cellWatch r="G18977"/>
    <cellWatch r="G18978"/>
    <cellWatch r="G18979"/>
    <cellWatch r="G18980"/>
    <cellWatch r="G18981"/>
    <cellWatch r="G18982"/>
    <cellWatch r="G18983"/>
    <cellWatch r="G18984"/>
    <cellWatch r="G18985"/>
    <cellWatch r="G18986"/>
    <cellWatch r="G18987"/>
    <cellWatch r="G18988"/>
    <cellWatch r="G18989"/>
    <cellWatch r="G18990"/>
    <cellWatch r="G18991"/>
    <cellWatch r="G18992"/>
    <cellWatch r="G18993"/>
    <cellWatch r="G18994"/>
    <cellWatch r="G18995"/>
    <cellWatch r="G18996"/>
    <cellWatch r="G18997"/>
    <cellWatch r="G18998"/>
    <cellWatch r="G18999"/>
    <cellWatch r="G19000"/>
    <cellWatch r="G19001"/>
    <cellWatch r="G19002"/>
    <cellWatch r="G19003"/>
    <cellWatch r="G19004"/>
    <cellWatch r="G19005"/>
    <cellWatch r="G19006"/>
    <cellWatch r="G19007"/>
    <cellWatch r="G19008"/>
    <cellWatch r="G19009"/>
    <cellWatch r="G19010"/>
    <cellWatch r="G19011"/>
    <cellWatch r="G19012"/>
    <cellWatch r="G19013"/>
    <cellWatch r="G19014"/>
    <cellWatch r="G19015"/>
    <cellWatch r="G19016"/>
    <cellWatch r="G19017"/>
    <cellWatch r="G19018"/>
    <cellWatch r="G19019"/>
    <cellWatch r="G19020"/>
    <cellWatch r="G19021"/>
    <cellWatch r="G19022"/>
    <cellWatch r="G19023"/>
    <cellWatch r="G19024"/>
    <cellWatch r="G19025"/>
    <cellWatch r="G19026"/>
    <cellWatch r="G19027"/>
    <cellWatch r="G19028"/>
    <cellWatch r="G19029"/>
    <cellWatch r="G19030"/>
    <cellWatch r="G19031"/>
    <cellWatch r="G19032"/>
    <cellWatch r="G19033"/>
    <cellWatch r="G19034"/>
    <cellWatch r="G19035"/>
    <cellWatch r="G19036"/>
    <cellWatch r="G19037"/>
    <cellWatch r="G19038"/>
    <cellWatch r="G19039"/>
    <cellWatch r="G19040"/>
    <cellWatch r="G19041"/>
    <cellWatch r="G19042"/>
    <cellWatch r="G19043"/>
    <cellWatch r="G19044"/>
    <cellWatch r="G19045"/>
    <cellWatch r="G19046"/>
    <cellWatch r="G19047"/>
    <cellWatch r="G19048"/>
    <cellWatch r="G19049"/>
    <cellWatch r="G19050"/>
    <cellWatch r="G19051"/>
    <cellWatch r="G19052"/>
    <cellWatch r="G19053"/>
    <cellWatch r="G19054"/>
    <cellWatch r="G19055"/>
    <cellWatch r="G19056"/>
    <cellWatch r="G19057"/>
    <cellWatch r="G19058"/>
    <cellWatch r="G19059"/>
    <cellWatch r="G19060"/>
    <cellWatch r="G19061"/>
    <cellWatch r="G19062"/>
    <cellWatch r="G19063"/>
    <cellWatch r="G19064"/>
    <cellWatch r="G19065"/>
    <cellWatch r="G19066"/>
    <cellWatch r="G19067"/>
    <cellWatch r="G19068"/>
    <cellWatch r="G19069"/>
    <cellWatch r="G19070"/>
    <cellWatch r="G19071"/>
    <cellWatch r="G19072"/>
    <cellWatch r="G19073"/>
    <cellWatch r="G19074"/>
    <cellWatch r="G19075"/>
    <cellWatch r="G19076"/>
    <cellWatch r="G19077"/>
    <cellWatch r="G19078"/>
    <cellWatch r="G19079"/>
    <cellWatch r="G19080"/>
    <cellWatch r="G19081"/>
    <cellWatch r="G19082"/>
    <cellWatch r="G19083"/>
    <cellWatch r="G19084"/>
    <cellWatch r="G19085"/>
    <cellWatch r="G19086"/>
    <cellWatch r="G19087"/>
    <cellWatch r="G19088"/>
    <cellWatch r="G19089"/>
    <cellWatch r="G19090"/>
    <cellWatch r="G19091"/>
    <cellWatch r="G19092"/>
    <cellWatch r="G19093"/>
    <cellWatch r="G19094"/>
    <cellWatch r="G19095"/>
    <cellWatch r="G19096"/>
    <cellWatch r="G19097"/>
    <cellWatch r="G19098"/>
    <cellWatch r="G19099"/>
    <cellWatch r="G19100"/>
    <cellWatch r="G19101"/>
    <cellWatch r="G19102"/>
    <cellWatch r="G19103"/>
    <cellWatch r="G19104"/>
    <cellWatch r="G19105"/>
    <cellWatch r="G19106"/>
    <cellWatch r="G19107"/>
    <cellWatch r="G19108"/>
    <cellWatch r="G19109"/>
    <cellWatch r="G19110"/>
    <cellWatch r="G19111"/>
    <cellWatch r="G19112"/>
    <cellWatch r="G19113"/>
    <cellWatch r="G19114"/>
    <cellWatch r="G19115"/>
    <cellWatch r="G19116"/>
    <cellWatch r="G19117"/>
    <cellWatch r="G19118"/>
    <cellWatch r="G19119"/>
    <cellWatch r="G19120"/>
    <cellWatch r="G19121"/>
    <cellWatch r="G19122"/>
    <cellWatch r="G19123"/>
    <cellWatch r="G19124"/>
    <cellWatch r="G19125"/>
    <cellWatch r="G19126"/>
    <cellWatch r="G19127"/>
    <cellWatch r="G19128"/>
    <cellWatch r="G19129"/>
    <cellWatch r="G19130"/>
    <cellWatch r="G19131"/>
    <cellWatch r="G19132"/>
    <cellWatch r="G19133"/>
    <cellWatch r="G19134"/>
    <cellWatch r="G19135"/>
    <cellWatch r="G19136"/>
    <cellWatch r="G19137"/>
    <cellWatch r="G19138"/>
    <cellWatch r="G19139"/>
    <cellWatch r="G19140"/>
    <cellWatch r="G19141"/>
    <cellWatch r="G19142"/>
    <cellWatch r="G19143"/>
    <cellWatch r="G19144"/>
    <cellWatch r="G19145"/>
    <cellWatch r="G19146"/>
    <cellWatch r="G19147"/>
    <cellWatch r="G19148"/>
    <cellWatch r="G19149"/>
    <cellWatch r="G19150"/>
    <cellWatch r="G19151"/>
    <cellWatch r="G19152"/>
    <cellWatch r="G19153"/>
    <cellWatch r="G19154"/>
    <cellWatch r="G19155"/>
    <cellWatch r="G19156"/>
    <cellWatch r="G19157"/>
    <cellWatch r="G19158"/>
    <cellWatch r="G19159"/>
    <cellWatch r="G19160"/>
    <cellWatch r="G19161"/>
    <cellWatch r="G19162"/>
    <cellWatch r="G19163"/>
    <cellWatch r="G19164"/>
    <cellWatch r="G19165"/>
    <cellWatch r="G19166"/>
    <cellWatch r="G19167"/>
    <cellWatch r="G19168"/>
    <cellWatch r="G19169"/>
    <cellWatch r="G19170"/>
    <cellWatch r="G19171"/>
    <cellWatch r="G19172"/>
    <cellWatch r="G19173"/>
    <cellWatch r="G19174"/>
    <cellWatch r="G19175"/>
    <cellWatch r="G19176"/>
    <cellWatch r="G19177"/>
    <cellWatch r="G19178"/>
    <cellWatch r="G19179"/>
    <cellWatch r="G19180"/>
    <cellWatch r="G19181"/>
    <cellWatch r="G19182"/>
    <cellWatch r="G19183"/>
    <cellWatch r="G19184"/>
    <cellWatch r="G19185"/>
    <cellWatch r="G19186"/>
    <cellWatch r="G19187"/>
    <cellWatch r="G19188"/>
    <cellWatch r="G19189"/>
    <cellWatch r="G19190"/>
    <cellWatch r="G19191"/>
    <cellWatch r="G19192"/>
    <cellWatch r="G19193"/>
    <cellWatch r="G19194"/>
    <cellWatch r="G19195"/>
    <cellWatch r="G19196"/>
    <cellWatch r="G19197"/>
    <cellWatch r="G19198"/>
    <cellWatch r="G19199"/>
    <cellWatch r="G19200"/>
    <cellWatch r="G19201"/>
    <cellWatch r="G19202"/>
    <cellWatch r="G19203"/>
    <cellWatch r="G19204"/>
    <cellWatch r="G19205"/>
    <cellWatch r="G19206"/>
    <cellWatch r="G19207"/>
    <cellWatch r="G19208"/>
    <cellWatch r="G19209"/>
    <cellWatch r="G19210"/>
    <cellWatch r="G19211"/>
    <cellWatch r="G19212"/>
    <cellWatch r="G19213"/>
    <cellWatch r="G19214"/>
    <cellWatch r="G19215"/>
    <cellWatch r="G19216"/>
    <cellWatch r="G19217"/>
    <cellWatch r="G19218"/>
    <cellWatch r="G19219"/>
    <cellWatch r="G19220"/>
    <cellWatch r="G19221"/>
    <cellWatch r="G19222"/>
    <cellWatch r="G19223"/>
    <cellWatch r="G19224"/>
    <cellWatch r="G19225"/>
    <cellWatch r="G19226"/>
    <cellWatch r="G19227"/>
    <cellWatch r="G19228"/>
    <cellWatch r="G19229"/>
    <cellWatch r="G19230"/>
    <cellWatch r="G19231"/>
    <cellWatch r="G19232"/>
    <cellWatch r="G19233"/>
    <cellWatch r="G19234"/>
    <cellWatch r="G19235"/>
    <cellWatch r="G19236"/>
    <cellWatch r="G19237"/>
    <cellWatch r="G19238"/>
    <cellWatch r="G19239"/>
    <cellWatch r="G19240"/>
    <cellWatch r="G19241"/>
    <cellWatch r="G19242"/>
    <cellWatch r="G19243"/>
    <cellWatch r="G19244"/>
    <cellWatch r="G19245"/>
    <cellWatch r="G19246"/>
    <cellWatch r="G19247"/>
    <cellWatch r="G19248"/>
    <cellWatch r="G19249"/>
    <cellWatch r="G19250"/>
    <cellWatch r="G19251"/>
    <cellWatch r="G19252"/>
    <cellWatch r="G19253"/>
    <cellWatch r="G19254"/>
    <cellWatch r="G19255"/>
    <cellWatch r="G19256"/>
    <cellWatch r="G19257"/>
    <cellWatch r="G19258"/>
    <cellWatch r="G19259"/>
    <cellWatch r="G19260"/>
    <cellWatch r="G19261"/>
    <cellWatch r="G19262"/>
    <cellWatch r="G19263"/>
    <cellWatch r="G19264"/>
    <cellWatch r="G19265"/>
    <cellWatch r="G19266"/>
    <cellWatch r="G19267"/>
    <cellWatch r="G19268"/>
    <cellWatch r="G19269"/>
    <cellWatch r="G19270"/>
    <cellWatch r="G19271"/>
    <cellWatch r="G19272"/>
    <cellWatch r="G19273"/>
    <cellWatch r="G19274"/>
    <cellWatch r="G19275"/>
    <cellWatch r="G19276"/>
    <cellWatch r="G19277"/>
    <cellWatch r="G19278"/>
    <cellWatch r="G19279"/>
    <cellWatch r="G19280"/>
    <cellWatch r="G19281"/>
    <cellWatch r="G19282"/>
    <cellWatch r="G19283"/>
    <cellWatch r="G19284"/>
    <cellWatch r="G19285"/>
    <cellWatch r="G19286"/>
    <cellWatch r="G19287"/>
    <cellWatch r="G19288"/>
    <cellWatch r="G19289"/>
    <cellWatch r="G19290"/>
    <cellWatch r="G19291"/>
    <cellWatch r="G19292"/>
    <cellWatch r="G19293"/>
    <cellWatch r="G19294"/>
    <cellWatch r="G19295"/>
    <cellWatch r="G19296"/>
    <cellWatch r="G19297"/>
    <cellWatch r="G19298"/>
    <cellWatch r="G19299"/>
    <cellWatch r="G19300"/>
    <cellWatch r="G19301"/>
    <cellWatch r="G19302"/>
    <cellWatch r="G19303"/>
    <cellWatch r="G19304"/>
    <cellWatch r="G19305"/>
    <cellWatch r="G19306"/>
    <cellWatch r="G19307"/>
    <cellWatch r="G19308"/>
    <cellWatch r="G19309"/>
    <cellWatch r="G19310"/>
    <cellWatch r="G19311"/>
    <cellWatch r="G19312"/>
    <cellWatch r="G19313"/>
    <cellWatch r="G19314"/>
    <cellWatch r="G19315"/>
    <cellWatch r="G19316"/>
    <cellWatch r="G19317"/>
    <cellWatch r="G19318"/>
    <cellWatch r="G19319"/>
    <cellWatch r="G19320"/>
    <cellWatch r="G19321"/>
    <cellWatch r="G19322"/>
    <cellWatch r="G19323"/>
    <cellWatch r="G19324"/>
    <cellWatch r="G19325"/>
    <cellWatch r="G19326"/>
    <cellWatch r="G19327"/>
    <cellWatch r="G19328"/>
    <cellWatch r="G19329"/>
    <cellWatch r="G19330"/>
    <cellWatch r="G19331"/>
    <cellWatch r="G19332"/>
    <cellWatch r="G19333"/>
    <cellWatch r="G19334"/>
    <cellWatch r="G19335"/>
    <cellWatch r="G19336"/>
    <cellWatch r="G19337"/>
    <cellWatch r="G19338"/>
    <cellWatch r="G19339"/>
    <cellWatch r="G19340"/>
    <cellWatch r="G19341"/>
    <cellWatch r="G19342"/>
    <cellWatch r="G19343"/>
    <cellWatch r="G19344"/>
    <cellWatch r="G19345"/>
    <cellWatch r="G19346"/>
    <cellWatch r="G19347"/>
    <cellWatch r="G19348"/>
    <cellWatch r="G19349"/>
    <cellWatch r="G19350"/>
    <cellWatch r="G19351"/>
    <cellWatch r="G19352"/>
    <cellWatch r="G19353"/>
    <cellWatch r="G19354"/>
    <cellWatch r="G19355"/>
    <cellWatch r="G19356"/>
    <cellWatch r="G19357"/>
    <cellWatch r="G19358"/>
    <cellWatch r="G19359"/>
    <cellWatch r="G19360"/>
    <cellWatch r="G19361"/>
    <cellWatch r="G19362"/>
    <cellWatch r="G19363"/>
    <cellWatch r="G19364"/>
    <cellWatch r="G19365"/>
    <cellWatch r="G19366"/>
    <cellWatch r="G19367"/>
    <cellWatch r="G19368"/>
    <cellWatch r="G19369"/>
    <cellWatch r="G19370"/>
    <cellWatch r="G19371"/>
    <cellWatch r="G19372"/>
    <cellWatch r="G19373"/>
    <cellWatch r="G19374"/>
    <cellWatch r="G19375"/>
    <cellWatch r="G19376"/>
    <cellWatch r="G19377"/>
    <cellWatch r="G19378"/>
    <cellWatch r="G19379"/>
    <cellWatch r="G19380"/>
    <cellWatch r="G19381"/>
    <cellWatch r="G19382"/>
    <cellWatch r="G19383"/>
    <cellWatch r="G19384"/>
    <cellWatch r="G19385"/>
    <cellWatch r="G19386"/>
    <cellWatch r="G19387"/>
    <cellWatch r="G19388"/>
    <cellWatch r="G19389"/>
    <cellWatch r="G19390"/>
    <cellWatch r="G19391"/>
    <cellWatch r="G19392"/>
    <cellWatch r="G19393"/>
    <cellWatch r="G19394"/>
    <cellWatch r="G19395"/>
    <cellWatch r="G19396"/>
    <cellWatch r="G19397"/>
    <cellWatch r="G19398"/>
    <cellWatch r="G19399"/>
    <cellWatch r="G19400"/>
    <cellWatch r="G19401"/>
    <cellWatch r="G19402"/>
    <cellWatch r="G19403"/>
    <cellWatch r="G19404"/>
    <cellWatch r="G19405"/>
    <cellWatch r="G19406"/>
    <cellWatch r="G19407"/>
    <cellWatch r="G19408"/>
    <cellWatch r="G19409"/>
    <cellWatch r="G19410"/>
    <cellWatch r="G19411"/>
    <cellWatch r="G19412"/>
    <cellWatch r="G19413"/>
    <cellWatch r="G19414"/>
    <cellWatch r="G19415"/>
    <cellWatch r="G19416"/>
    <cellWatch r="G19417"/>
    <cellWatch r="G19418"/>
    <cellWatch r="G19419"/>
    <cellWatch r="G19420"/>
    <cellWatch r="G19421"/>
    <cellWatch r="G19422"/>
    <cellWatch r="G19423"/>
    <cellWatch r="G19424"/>
    <cellWatch r="G19425"/>
    <cellWatch r="G19426"/>
    <cellWatch r="G19427"/>
    <cellWatch r="G19428"/>
    <cellWatch r="G19429"/>
    <cellWatch r="G19430"/>
    <cellWatch r="G19431"/>
    <cellWatch r="G19432"/>
    <cellWatch r="G19433"/>
    <cellWatch r="G19434"/>
    <cellWatch r="G19435"/>
    <cellWatch r="G19436"/>
    <cellWatch r="G19437"/>
    <cellWatch r="G19438"/>
    <cellWatch r="G19439"/>
    <cellWatch r="G19440"/>
    <cellWatch r="G19441"/>
    <cellWatch r="G19442"/>
    <cellWatch r="G19443"/>
    <cellWatch r="G19444"/>
    <cellWatch r="G19445"/>
    <cellWatch r="G19446"/>
    <cellWatch r="G19447"/>
    <cellWatch r="G19448"/>
    <cellWatch r="G19449"/>
    <cellWatch r="G19450"/>
    <cellWatch r="G19451"/>
    <cellWatch r="G19452"/>
    <cellWatch r="G19453"/>
    <cellWatch r="G19454"/>
    <cellWatch r="G19455"/>
    <cellWatch r="G19456"/>
    <cellWatch r="G19457"/>
    <cellWatch r="G19458"/>
    <cellWatch r="G19459"/>
    <cellWatch r="G19460"/>
    <cellWatch r="G19461"/>
    <cellWatch r="G19462"/>
    <cellWatch r="G19463"/>
    <cellWatch r="G19464"/>
    <cellWatch r="G19465"/>
    <cellWatch r="G19466"/>
    <cellWatch r="G19467"/>
    <cellWatch r="G19468"/>
    <cellWatch r="G19469"/>
    <cellWatch r="G19470"/>
    <cellWatch r="G19471"/>
    <cellWatch r="G19472"/>
    <cellWatch r="G19473"/>
    <cellWatch r="G19474"/>
    <cellWatch r="G19475"/>
    <cellWatch r="G19476"/>
    <cellWatch r="G19477"/>
    <cellWatch r="G19478"/>
    <cellWatch r="G19479"/>
    <cellWatch r="G19480"/>
    <cellWatch r="G19481"/>
    <cellWatch r="G19482"/>
    <cellWatch r="G19483"/>
    <cellWatch r="G19484"/>
    <cellWatch r="G19485"/>
    <cellWatch r="G19486"/>
    <cellWatch r="G19487"/>
    <cellWatch r="G19488"/>
    <cellWatch r="G19489"/>
    <cellWatch r="G19490"/>
    <cellWatch r="G19491"/>
    <cellWatch r="G19492"/>
    <cellWatch r="G19493"/>
    <cellWatch r="G19494"/>
    <cellWatch r="G19495"/>
    <cellWatch r="G19496"/>
    <cellWatch r="G19497"/>
    <cellWatch r="G19498"/>
    <cellWatch r="G19499"/>
    <cellWatch r="G19500"/>
    <cellWatch r="G19501"/>
    <cellWatch r="G19502"/>
    <cellWatch r="G19503"/>
    <cellWatch r="G19504"/>
    <cellWatch r="G19505"/>
    <cellWatch r="G19506"/>
    <cellWatch r="G19507"/>
    <cellWatch r="G19508"/>
    <cellWatch r="G19509"/>
    <cellWatch r="G19510"/>
    <cellWatch r="G19511"/>
    <cellWatch r="G19512"/>
    <cellWatch r="G19513"/>
    <cellWatch r="G19514"/>
    <cellWatch r="G19515"/>
    <cellWatch r="G19516"/>
    <cellWatch r="G19517"/>
    <cellWatch r="G19518"/>
    <cellWatch r="G19519"/>
    <cellWatch r="G19520"/>
    <cellWatch r="G19521"/>
    <cellWatch r="G19522"/>
    <cellWatch r="G19523"/>
    <cellWatch r="G19524"/>
    <cellWatch r="G19525"/>
    <cellWatch r="G19526"/>
    <cellWatch r="G19527"/>
    <cellWatch r="G19528"/>
    <cellWatch r="G19529"/>
    <cellWatch r="G19530"/>
    <cellWatch r="G19531"/>
    <cellWatch r="G19532"/>
    <cellWatch r="G19533"/>
    <cellWatch r="G19534"/>
    <cellWatch r="G19535"/>
    <cellWatch r="G19536"/>
    <cellWatch r="G19537"/>
    <cellWatch r="G19538"/>
    <cellWatch r="G19539"/>
    <cellWatch r="G19540"/>
    <cellWatch r="G19541"/>
    <cellWatch r="G19542"/>
    <cellWatch r="G19543"/>
    <cellWatch r="G19544"/>
    <cellWatch r="G19545"/>
    <cellWatch r="G19546"/>
    <cellWatch r="G19547"/>
    <cellWatch r="G19548"/>
    <cellWatch r="G19549"/>
    <cellWatch r="G19550"/>
    <cellWatch r="G19551"/>
    <cellWatch r="G19552"/>
    <cellWatch r="G19553"/>
    <cellWatch r="G19554"/>
    <cellWatch r="G19555"/>
    <cellWatch r="G19556"/>
    <cellWatch r="G19557"/>
    <cellWatch r="G19558"/>
    <cellWatch r="G19559"/>
    <cellWatch r="G19560"/>
    <cellWatch r="G19561"/>
    <cellWatch r="G19562"/>
    <cellWatch r="G19563"/>
    <cellWatch r="G19564"/>
    <cellWatch r="G19565"/>
    <cellWatch r="G19566"/>
    <cellWatch r="G19567"/>
    <cellWatch r="G19568"/>
    <cellWatch r="G19569"/>
    <cellWatch r="G19570"/>
    <cellWatch r="G19571"/>
    <cellWatch r="G19572"/>
    <cellWatch r="G19573"/>
    <cellWatch r="G19574"/>
    <cellWatch r="G19575"/>
    <cellWatch r="G19576"/>
    <cellWatch r="G19577"/>
    <cellWatch r="G19578"/>
    <cellWatch r="G19579"/>
    <cellWatch r="G19580"/>
    <cellWatch r="G19581"/>
    <cellWatch r="G19582"/>
    <cellWatch r="G19583"/>
    <cellWatch r="G19584"/>
    <cellWatch r="G19585"/>
    <cellWatch r="G19586"/>
    <cellWatch r="G19587"/>
    <cellWatch r="G19588"/>
    <cellWatch r="G19589"/>
    <cellWatch r="G19590"/>
    <cellWatch r="G19591"/>
    <cellWatch r="G19592"/>
    <cellWatch r="G19593"/>
    <cellWatch r="G19594"/>
    <cellWatch r="G19595"/>
    <cellWatch r="G19596"/>
    <cellWatch r="G19597"/>
    <cellWatch r="G19598"/>
    <cellWatch r="G19599"/>
    <cellWatch r="G19600"/>
    <cellWatch r="G19601"/>
    <cellWatch r="G19602"/>
    <cellWatch r="G19603"/>
    <cellWatch r="G19604"/>
    <cellWatch r="G19605"/>
    <cellWatch r="G19606"/>
    <cellWatch r="G19607"/>
    <cellWatch r="G19608"/>
    <cellWatch r="G19609"/>
    <cellWatch r="G19610"/>
    <cellWatch r="G19611"/>
    <cellWatch r="G19612"/>
    <cellWatch r="G19613"/>
    <cellWatch r="G19614"/>
    <cellWatch r="G19615"/>
    <cellWatch r="G19616"/>
    <cellWatch r="G19617"/>
    <cellWatch r="G19618"/>
    <cellWatch r="G19619"/>
    <cellWatch r="G19620"/>
    <cellWatch r="G19621"/>
    <cellWatch r="G19622"/>
    <cellWatch r="G19623"/>
    <cellWatch r="G19624"/>
    <cellWatch r="G19625"/>
    <cellWatch r="G19626"/>
    <cellWatch r="G19627"/>
    <cellWatch r="G19628"/>
    <cellWatch r="G19629"/>
    <cellWatch r="G19630"/>
    <cellWatch r="G19631"/>
    <cellWatch r="G19632"/>
    <cellWatch r="G19633"/>
    <cellWatch r="G19634"/>
    <cellWatch r="G19635"/>
    <cellWatch r="G19636"/>
    <cellWatch r="G19637"/>
    <cellWatch r="G19638"/>
    <cellWatch r="G19639"/>
    <cellWatch r="G19640"/>
    <cellWatch r="G19641"/>
    <cellWatch r="G19642"/>
    <cellWatch r="G19643"/>
    <cellWatch r="G19644"/>
    <cellWatch r="G19645"/>
    <cellWatch r="G19646"/>
    <cellWatch r="G19647"/>
    <cellWatch r="G19648"/>
    <cellWatch r="G19649"/>
    <cellWatch r="G19650"/>
    <cellWatch r="G19651"/>
    <cellWatch r="G19652"/>
    <cellWatch r="G19653"/>
    <cellWatch r="G19654"/>
    <cellWatch r="G19655"/>
    <cellWatch r="G19656"/>
    <cellWatch r="G19657"/>
    <cellWatch r="G19658"/>
    <cellWatch r="G19659"/>
    <cellWatch r="G19660"/>
    <cellWatch r="G19661"/>
    <cellWatch r="G19662"/>
    <cellWatch r="G19663"/>
    <cellWatch r="G19664"/>
    <cellWatch r="G19665"/>
    <cellWatch r="G19666"/>
    <cellWatch r="G19667"/>
    <cellWatch r="G19668"/>
    <cellWatch r="G19669"/>
    <cellWatch r="G19670"/>
    <cellWatch r="G19671"/>
    <cellWatch r="G19672"/>
    <cellWatch r="G19673"/>
    <cellWatch r="G19674"/>
    <cellWatch r="G19675"/>
    <cellWatch r="G19676"/>
    <cellWatch r="G19677"/>
    <cellWatch r="G19678"/>
    <cellWatch r="G19679"/>
    <cellWatch r="G19680"/>
    <cellWatch r="G19681"/>
    <cellWatch r="G19682"/>
    <cellWatch r="G19683"/>
    <cellWatch r="G19684"/>
    <cellWatch r="G19685"/>
    <cellWatch r="G19686"/>
    <cellWatch r="G19687"/>
    <cellWatch r="G19688"/>
    <cellWatch r="G19689"/>
    <cellWatch r="G19690"/>
    <cellWatch r="G19691"/>
    <cellWatch r="G19692"/>
    <cellWatch r="G19693"/>
    <cellWatch r="G19694"/>
    <cellWatch r="G19695"/>
    <cellWatch r="G19696"/>
    <cellWatch r="G19697"/>
    <cellWatch r="G19698"/>
    <cellWatch r="G19699"/>
    <cellWatch r="G19700"/>
    <cellWatch r="G19701"/>
    <cellWatch r="G19702"/>
    <cellWatch r="G19703"/>
    <cellWatch r="G19704"/>
    <cellWatch r="G19705"/>
    <cellWatch r="G19706"/>
    <cellWatch r="G19707"/>
    <cellWatch r="G19708"/>
    <cellWatch r="G19709"/>
    <cellWatch r="G19710"/>
    <cellWatch r="G19711"/>
    <cellWatch r="G19712"/>
    <cellWatch r="G19713"/>
    <cellWatch r="G19714"/>
    <cellWatch r="G19715"/>
    <cellWatch r="G19716"/>
    <cellWatch r="G19717"/>
    <cellWatch r="G19718"/>
    <cellWatch r="G19719"/>
    <cellWatch r="G19720"/>
    <cellWatch r="G19721"/>
    <cellWatch r="G19722"/>
    <cellWatch r="G19723"/>
    <cellWatch r="G19724"/>
    <cellWatch r="G19725"/>
    <cellWatch r="G19726"/>
    <cellWatch r="G19727"/>
    <cellWatch r="G19728"/>
    <cellWatch r="G19729"/>
    <cellWatch r="G19730"/>
    <cellWatch r="G19731"/>
    <cellWatch r="G19732"/>
    <cellWatch r="G19733"/>
    <cellWatch r="G19734"/>
    <cellWatch r="G19735"/>
    <cellWatch r="G19736"/>
    <cellWatch r="G19737"/>
    <cellWatch r="G19738"/>
    <cellWatch r="G19739"/>
    <cellWatch r="G19740"/>
    <cellWatch r="G19741"/>
    <cellWatch r="G19742"/>
    <cellWatch r="G19743"/>
    <cellWatch r="G19744"/>
    <cellWatch r="G19745"/>
    <cellWatch r="G19746"/>
    <cellWatch r="G19747"/>
    <cellWatch r="G19748"/>
    <cellWatch r="G19749"/>
    <cellWatch r="G19750"/>
    <cellWatch r="G19751"/>
    <cellWatch r="G19752"/>
    <cellWatch r="G19753"/>
    <cellWatch r="G19754"/>
    <cellWatch r="G19755"/>
    <cellWatch r="G19756"/>
    <cellWatch r="G19757"/>
    <cellWatch r="G19758"/>
    <cellWatch r="G19759"/>
    <cellWatch r="G19760"/>
    <cellWatch r="G19761"/>
    <cellWatch r="G19762"/>
    <cellWatch r="G19763"/>
    <cellWatch r="G19764"/>
    <cellWatch r="G19765"/>
    <cellWatch r="G19766"/>
    <cellWatch r="G19767"/>
    <cellWatch r="G19768"/>
    <cellWatch r="G19769"/>
    <cellWatch r="G19770"/>
    <cellWatch r="G19771"/>
    <cellWatch r="G19772"/>
    <cellWatch r="G19773"/>
    <cellWatch r="G19774"/>
    <cellWatch r="G19775"/>
    <cellWatch r="G19776"/>
    <cellWatch r="G19777"/>
    <cellWatch r="G19778"/>
    <cellWatch r="G19779"/>
    <cellWatch r="G19780"/>
    <cellWatch r="G19781"/>
    <cellWatch r="G19782"/>
    <cellWatch r="G19783"/>
    <cellWatch r="G19784"/>
    <cellWatch r="G19785"/>
    <cellWatch r="G19786"/>
    <cellWatch r="G19787"/>
    <cellWatch r="G19788"/>
    <cellWatch r="G19789"/>
    <cellWatch r="G19790"/>
    <cellWatch r="G19791"/>
    <cellWatch r="G19792"/>
    <cellWatch r="G19793"/>
    <cellWatch r="G19794"/>
    <cellWatch r="G19795"/>
    <cellWatch r="G19796"/>
    <cellWatch r="G19797"/>
    <cellWatch r="G19798"/>
    <cellWatch r="G19799"/>
    <cellWatch r="G19800"/>
    <cellWatch r="G19801"/>
    <cellWatch r="G19802"/>
    <cellWatch r="G19803"/>
    <cellWatch r="G19804"/>
    <cellWatch r="G19805"/>
    <cellWatch r="G19806"/>
    <cellWatch r="G19807"/>
    <cellWatch r="G19808"/>
    <cellWatch r="G19809"/>
    <cellWatch r="G19810"/>
    <cellWatch r="G19811"/>
    <cellWatch r="G19812"/>
    <cellWatch r="G19813"/>
    <cellWatch r="G19814"/>
    <cellWatch r="G19815"/>
    <cellWatch r="G19816"/>
    <cellWatch r="G19817"/>
    <cellWatch r="G19818"/>
    <cellWatch r="G19819"/>
    <cellWatch r="G19820"/>
    <cellWatch r="G19821"/>
    <cellWatch r="G19822"/>
    <cellWatch r="G19823"/>
    <cellWatch r="G19824"/>
    <cellWatch r="G19825"/>
    <cellWatch r="G19826"/>
    <cellWatch r="G19827"/>
    <cellWatch r="G19828"/>
    <cellWatch r="G19829"/>
    <cellWatch r="G19830"/>
    <cellWatch r="G19831"/>
    <cellWatch r="G19832"/>
    <cellWatch r="G19833"/>
    <cellWatch r="G19834"/>
    <cellWatch r="G19835"/>
    <cellWatch r="G19836"/>
    <cellWatch r="G19837"/>
    <cellWatch r="G19838"/>
    <cellWatch r="G19839"/>
    <cellWatch r="G19840"/>
    <cellWatch r="G19841"/>
    <cellWatch r="G19842"/>
    <cellWatch r="G19843"/>
    <cellWatch r="G19844"/>
    <cellWatch r="G19845"/>
    <cellWatch r="G19846"/>
    <cellWatch r="G19847"/>
    <cellWatch r="G19848"/>
    <cellWatch r="G19849"/>
    <cellWatch r="G19850"/>
    <cellWatch r="G19851"/>
    <cellWatch r="G19852"/>
    <cellWatch r="G19853"/>
    <cellWatch r="G19854"/>
    <cellWatch r="G19855"/>
    <cellWatch r="G19856"/>
    <cellWatch r="G19857"/>
    <cellWatch r="G19858"/>
    <cellWatch r="G19859"/>
    <cellWatch r="G19860"/>
    <cellWatch r="G19861"/>
    <cellWatch r="G19862"/>
    <cellWatch r="G19863"/>
    <cellWatch r="G19864"/>
    <cellWatch r="G19865"/>
    <cellWatch r="G19866"/>
    <cellWatch r="G19867"/>
    <cellWatch r="G19868"/>
    <cellWatch r="G19869"/>
    <cellWatch r="G19870"/>
    <cellWatch r="G19871"/>
    <cellWatch r="G19872"/>
    <cellWatch r="G19873"/>
    <cellWatch r="G19874"/>
    <cellWatch r="G19875"/>
    <cellWatch r="G19876"/>
    <cellWatch r="G19877"/>
    <cellWatch r="G19878"/>
    <cellWatch r="G19879"/>
    <cellWatch r="G19880"/>
    <cellWatch r="G19881"/>
    <cellWatch r="G19882"/>
    <cellWatch r="G19883"/>
    <cellWatch r="G19884"/>
    <cellWatch r="G19885"/>
    <cellWatch r="G19886"/>
    <cellWatch r="G19887"/>
    <cellWatch r="G19888"/>
    <cellWatch r="G19889"/>
    <cellWatch r="G19890"/>
    <cellWatch r="G19891"/>
    <cellWatch r="G19892"/>
    <cellWatch r="G19893"/>
    <cellWatch r="G19894"/>
    <cellWatch r="G19895"/>
    <cellWatch r="G19896"/>
    <cellWatch r="G19897"/>
    <cellWatch r="G19898"/>
    <cellWatch r="G19899"/>
    <cellWatch r="G19900"/>
    <cellWatch r="G19901"/>
    <cellWatch r="G19902"/>
    <cellWatch r="G19903"/>
    <cellWatch r="G19904"/>
    <cellWatch r="G19905"/>
    <cellWatch r="G19906"/>
    <cellWatch r="G19907"/>
    <cellWatch r="G19908"/>
    <cellWatch r="G19909"/>
    <cellWatch r="G19910"/>
    <cellWatch r="G19911"/>
    <cellWatch r="G19912"/>
    <cellWatch r="G19913"/>
    <cellWatch r="G19914"/>
    <cellWatch r="G19915"/>
    <cellWatch r="G19916"/>
    <cellWatch r="G19917"/>
    <cellWatch r="G19918"/>
    <cellWatch r="G19919"/>
    <cellWatch r="G19920"/>
    <cellWatch r="G19921"/>
    <cellWatch r="G19922"/>
    <cellWatch r="G19923"/>
    <cellWatch r="G19924"/>
    <cellWatch r="G19925"/>
    <cellWatch r="G19926"/>
    <cellWatch r="G19927"/>
    <cellWatch r="G19928"/>
    <cellWatch r="G19929"/>
    <cellWatch r="G19930"/>
    <cellWatch r="G19931"/>
    <cellWatch r="G19932"/>
    <cellWatch r="G19933"/>
    <cellWatch r="G19934"/>
    <cellWatch r="G19935"/>
    <cellWatch r="G19936"/>
    <cellWatch r="G19937"/>
    <cellWatch r="G19938"/>
    <cellWatch r="G19939"/>
    <cellWatch r="G19940"/>
    <cellWatch r="G19941"/>
    <cellWatch r="G19942"/>
    <cellWatch r="G19943"/>
    <cellWatch r="G19944"/>
    <cellWatch r="G19945"/>
    <cellWatch r="G19946"/>
    <cellWatch r="G19947"/>
    <cellWatch r="G19948"/>
    <cellWatch r="G19949"/>
    <cellWatch r="G19950"/>
    <cellWatch r="G19951"/>
    <cellWatch r="G19952"/>
    <cellWatch r="G19953"/>
    <cellWatch r="G19954"/>
    <cellWatch r="G19955"/>
    <cellWatch r="G19956"/>
    <cellWatch r="G19957"/>
    <cellWatch r="G19958"/>
    <cellWatch r="G19959"/>
    <cellWatch r="G19960"/>
    <cellWatch r="G19961"/>
    <cellWatch r="G19962"/>
    <cellWatch r="G19963"/>
    <cellWatch r="G19964"/>
    <cellWatch r="G19965"/>
    <cellWatch r="G19966"/>
    <cellWatch r="G19967"/>
    <cellWatch r="G19968"/>
    <cellWatch r="G19969"/>
    <cellWatch r="G19970"/>
    <cellWatch r="G19971"/>
    <cellWatch r="G19972"/>
    <cellWatch r="G19973"/>
    <cellWatch r="G19974"/>
    <cellWatch r="G19975"/>
    <cellWatch r="G19976"/>
    <cellWatch r="G19977"/>
    <cellWatch r="G19978"/>
    <cellWatch r="G19979"/>
    <cellWatch r="G19980"/>
    <cellWatch r="G19981"/>
    <cellWatch r="G19982"/>
    <cellWatch r="G19983"/>
    <cellWatch r="G19984"/>
    <cellWatch r="G19985"/>
    <cellWatch r="G19986"/>
    <cellWatch r="G19987"/>
    <cellWatch r="G19988"/>
    <cellWatch r="G19989"/>
    <cellWatch r="G19990"/>
    <cellWatch r="G19991"/>
    <cellWatch r="G19992"/>
    <cellWatch r="G19993"/>
    <cellWatch r="G19994"/>
    <cellWatch r="G19995"/>
    <cellWatch r="G19996"/>
    <cellWatch r="G19997"/>
    <cellWatch r="G19998"/>
    <cellWatch r="G19999"/>
    <cellWatch r="G20000"/>
    <cellWatch r="G20001"/>
    <cellWatch r="G20002"/>
    <cellWatch r="G20003"/>
    <cellWatch r="G20004"/>
    <cellWatch r="G20005"/>
    <cellWatch r="G20006"/>
    <cellWatch r="G20007"/>
    <cellWatch r="G20008"/>
    <cellWatch r="G20009"/>
    <cellWatch r="G20010"/>
    <cellWatch r="G20011"/>
    <cellWatch r="G20012"/>
    <cellWatch r="G20013"/>
    <cellWatch r="G20014"/>
    <cellWatch r="G20015"/>
    <cellWatch r="G20016"/>
    <cellWatch r="G20017"/>
    <cellWatch r="G20018"/>
    <cellWatch r="G20019"/>
    <cellWatch r="G20020"/>
    <cellWatch r="G20021"/>
    <cellWatch r="G20022"/>
    <cellWatch r="G20023"/>
    <cellWatch r="G20024"/>
    <cellWatch r="G20025"/>
    <cellWatch r="G20026"/>
    <cellWatch r="G20027"/>
    <cellWatch r="G20028"/>
    <cellWatch r="G20029"/>
    <cellWatch r="G20030"/>
    <cellWatch r="G20031"/>
    <cellWatch r="G20032"/>
    <cellWatch r="G20033"/>
    <cellWatch r="G20034"/>
    <cellWatch r="G20035"/>
    <cellWatch r="G20036"/>
    <cellWatch r="G20037"/>
    <cellWatch r="G20038"/>
    <cellWatch r="G20039"/>
    <cellWatch r="G20040"/>
    <cellWatch r="G20041"/>
    <cellWatch r="G20042"/>
    <cellWatch r="G20043"/>
    <cellWatch r="G20044"/>
    <cellWatch r="G20045"/>
    <cellWatch r="G20046"/>
    <cellWatch r="G20047"/>
    <cellWatch r="G20048"/>
    <cellWatch r="G20049"/>
    <cellWatch r="G20050"/>
    <cellWatch r="G20051"/>
    <cellWatch r="G20052"/>
    <cellWatch r="G20053"/>
    <cellWatch r="G20054"/>
    <cellWatch r="G20055"/>
    <cellWatch r="G20056"/>
    <cellWatch r="G20057"/>
    <cellWatch r="G20058"/>
    <cellWatch r="G20059"/>
    <cellWatch r="G20060"/>
    <cellWatch r="G20061"/>
    <cellWatch r="G20062"/>
    <cellWatch r="G20063"/>
    <cellWatch r="G20064"/>
    <cellWatch r="G20065"/>
    <cellWatch r="G20066"/>
    <cellWatch r="G20067"/>
    <cellWatch r="G20068"/>
    <cellWatch r="G20069"/>
    <cellWatch r="G20070"/>
    <cellWatch r="G20071"/>
    <cellWatch r="G20072"/>
    <cellWatch r="G20073"/>
    <cellWatch r="G20074"/>
    <cellWatch r="G20075"/>
    <cellWatch r="G20076"/>
    <cellWatch r="G20077"/>
    <cellWatch r="G20078"/>
    <cellWatch r="G20079"/>
    <cellWatch r="G20080"/>
    <cellWatch r="G20081"/>
    <cellWatch r="G20082"/>
    <cellWatch r="G20083"/>
    <cellWatch r="G20084"/>
    <cellWatch r="G20085"/>
    <cellWatch r="G20086"/>
    <cellWatch r="G20087"/>
    <cellWatch r="G20088"/>
    <cellWatch r="G20089"/>
    <cellWatch r="G20090"/>
    <cellWatch r="G20091"/>
    <cellWatch r="G20092"/>
    <cellWatch r="G20093"/>
    <cellWatch r="G20094"/>
    <cellWatch r="G20095"/>
    <cellWatch r="G20096"/>
    <cellWatch r="G20097"/>
    <cellWatch r="G20098"/>
    <cellWatch r="G20099"/>
    <cellWatch r="G20100"/>
    <cellWatch r="G20101"/>
    <cellWatch r="G20102"/>
    <cellWatch r="G20103"/>
    <cellWatch r="G20104"/>
    <cellWatch r="G20105"/>
    <cellWatch r="G20106"/>
    <cellWatch r="G20107"/>
    <cellWatch r="G20108"/>
    <cellWatch r="G20109"/>
    <cellWatch r="G20110"/>
    <cellWatch r="G20111"/>
    <cellWatch r="G20112"/>
    <cellWatch r="G20113"/>
    <cellWatch r="G20114"/>
    <cellWatch r="G20115"/>
    <cellWatch r="G20116"/>
    <cellWatch r="G20117"/>
    <cellWatch r="G20118"/>
    <cellWatch r="G20119"/>
    <cellWatch r="G20120"/>
    <cellWatch r="G20121"/>
    <cellWatch r="G20122"/>
    <cellWatch r="G20123"/>
    <cellWatch r="G20124"/>
    <cellWatch r="G20125"/>
    <cellWatch r="G20126"/>
    <cellWatch r="G20127"/>
    <cellWatch r="G20128"/>
    <cellWatch r="G20129"/>
    <cellWatch r="G20130"/>
    <cellWatch r="G20131"/>
    <cellWatch r="G20132"/>
    <cellWatch r="G20133"/>
    <cellWatch r="G20134"/>
    <cellWatch r="G20135"/>
    <cellWatch r="G20136"/>
    <cellWatch r="G20137"/>
    <cellWatch r="G20138"/>
    <cellWatch r="G20139"/>
    <cellWatch r="G20140"/>
    <cellWatch r="G20141"/>
    <cellWatch r="G20142"/>
    <cellWatch r="G20143"/>
    <cellWatch r="G20144"/>
    <cellWatch r="G20145"/>
    <cellWatch r="G20146"/>
    <cellWatch r="G20147"/>
    <cellWatch r="G20148"/>
    <cellWatch r="G20149"/>
    <cellWatch r="G20150"/>
    <cellWatch r="G20151"/>
    <cellWatch r="G20152"/>
    <cellWatch r="G20153"/>
    <cellWatch r="G20154"/>
    <cellWatch r="G20155"/>
    <cellWatch r="G20156"/>
    <cellWatch r="G20157"/>
    <cellWatch r="G20158"/>
    <cellWatch r="G20159"/>
    <cellWatch r="G20160"/>
    <cellWatch r="G20161"/>
    <cellWatch r="G20162"/>
    <cellWatch r="G20163"/>
    <cellWatch r="G20164"/>
    <cellWatch r="G20165"/>
    <cellWatch r="G20166"/>
    <cellWatch r="G20167"/>
    <cellWatch r="G20168"/>
    <cellWatch r="G20169"/>
    <cellWatch r="G20170"/>
    <cellWatch r="G20171"/>
    <cellWatch r="G20172"/>
    <cellWatch r="G20173"/>
    <cellWatch r="G20174"/>
    <cellWatch r="G20175"/>
    <cellWatch r="G20176"/>
    <cellWatch r="G20177"/>
    <cellWatch r="G20178"/>
    <cellWatch r="G20179"/>
    <cellWatch r="G20180"/>
    <cellWatch r="G20181"/>
    <cellWatch r="G20182"/>
    <cellWatch r="G20183"/>
    <cellWatch r="G20184"/>
    <cellWatch r="G20185"/>
    <cellWatch r="G20186"/>
    <cellWatch r="G20187"/>
    <cellWatch r="G20188"/>
    <cellWatch r="G20189"/>
    <cellWatch r="G20190"/>
    <cellWatch r="G20191"/>
    <cellWatch r="G20192"/>
    <cellWatch r="G20193"/>
    <cellWatch r="G20194"/>
    <cellWatch r="G20195"/>
    <cellWatch r="G20196"/>
    <cellWatch r="G20197"/>
    <cellWatch r="G20198"/>
    <cellWatch r="G20199"/>
    <cellWatch r="G20200"/>
    <cellWatch r="G20201"/>
    <cellWatch r="G20202"/>
    <cellWatch r="G20203"/>
    <cellWatch r="G20204"/>
    <cellWatch r="G20205"/>
    <cellWatch r="G20206"/>
    <cellWatch r="G20207"/>
    <cellWatch r="G20208"/>
    <cellWatch r="G20209"/>
    <cellWatch r="G20210"/>
    <cellWatch r="G20211"/>
    <cellWatch r="G20212"/>
    <cellWatch r="G20213"/>
    <cellWatch r="G20214"/>
    <cellWatch r="G20215"/>
    <cellWatch r="G20216"/>
    <cellWatch r="G20217"/>
    <cellWatch r="G20218"/>
    <cellWatch r="G20219"/>
    <cellWatch r="G20220"/>
    <cellWatch r="G20221"/>
    <cellWatch r="G20222"/>
    <cellWatch r="G20223"/>
    <cellWatch r="G20224"/>
    <cellWatch r="G20225"/>
    <cellWatch r="G20226"/>
    <cellWatch r="G20227"/>
    <cellWatch r="G20228"/>
    <cellWatch r="G20229"/>
    <cellWatch r="G20230"/>
    <cellWatch r="G20231"/>
    <cellWatch r="G20232"/>
    <cellWatch r="G20233"/>
    <cellWatch r="G20234"/>
    <cellWatch r="G20235"/>
    <cellWatch r="G20236"/>
    <cellWatch r="G20237"/>
    <cellWatch r="G20238"/>
    <cellWatch r="G20239"/>
    <cellWatch r="G20240"/>
    <cellWatch r="G20241"/>
    <cellWatch r="G20242"/>
    <cellWatch r="G20243"/>
    <cellWatch r="G20244"/>
    <cellWatch r="G20245"/>
    <cellWatch r="G20246"/>
    <cellWatch r="G20247"/>
    <cellWatch r="G20248"/>
    <cellWatch r="G20249"/>
    <cellWatch r="G20250"/>
    <cellWatch r="G20251"/>
    <cellWatch r="G20252"/>
    <cellWatch r="G20253"/>
    <cellWatch r="G20254"/>
    <cellWatch r="G20255"/>
    <cellWatch r="G20256"/>
    <cellWatch r="G20257"/>
    <cellWatch r="G20258"/>
    <cellWatch r="G20259"/>
    <cellWatch r="G20260"/>
    <cellWatch r="G20261"/>
    <cellWatch r="G20262"/>
    <cellWatch r="G20263"/>
    <cellWatch r="G20264"/>
    <cellWatch r="G20265"/>
    <cellWatch r="G20266"/>
    <cellWatch r="G20267"/>
    <cellWatch r="G20268"/>
    <cellWatch r="G20269"/>
    <cellWatch r="G20270"/>
    <cellWatch r="G20271"/>
    <cellWatch r="G20272"/>
    <cellWatch r="G20273"/>
    <cellWatch r="G20274"/>
    <cellWatch r="G20275"/>
    <cellWatch r="G20276"/>
    <cellWatch r="G20277"/>
    <cellWatch r="G20278"/>
    <cellWatch r="G20279"/>
    <cellWatch r="G20280"/>
    <cellWatch r="G20281"/>
    <cellWatch r="G20282"/>
    <cellWatch r="G20283"/>
    <cellWatch r="G20284"/>
    <cellWatch r="G20285"/>
    <cellWatch r="G20286"/>
    <cellWatch r="G20287"/>
    <cellWatch r="G20288"/>
    <cellWatch r="G20289"/>
    <cellWatch r="G20290"/>
    <cellWatch r="G20291"/>
    <cellWatch r="G20292"/>
    <cellWatch r="G20293"/>
    <cellWatch r="G20294"/>
    <cellWatch r="G20295"/>
    <cellWatch r="G20296"/>
    <cellWatch r="G20297"/>
    <cellWatch r="G20298"/>
    <cellWatch r="G20299"/>
    <cellWatch r="G20300"/>
    <cellWatch r="G20301"/>
    <cellWatch r="G20302"/>
    <cellWatch r="G20303"/>
    <cellWatch r="G20304"/>
    <cellWatch r="G20305"/>
    <cellWatch r="G20306"/>
    <cellWatch r="G20307"/>
    <cellWatch r="G20308"/>
    <cellWatch r="G20309"/>
    <cellWatch r="G20310"/>
    <cellWatch r="G20311"/>
    <cellWatch r="G20312"/>
    <cellWatch r="G20313"/>
    <cellWatch r="G20314"/>
    <cellWatch r="G20315"/>
    <cellWatch r="G20316"/>
    <cellWatch r="G20317"/>
    <cellWatch r="G20318"/>
    <cellWatch r="G20319"/>
    <cellWatch r="G20320"/>
    <cellWatch r="G20321"/>
    <cellWatch r="G20322"/>
    <cellWatch r="G20323"/>
    <cellWatch r="G20324"/>
    <cellWatch r="G20325"/>
    <cellWatch r="G20326"/>
    <cellWatch r="G20327"/>
    <cellWatch r="G20328"/>
    <cellWatch r="G20329"/>
    <cellWatch r="G20330"/>
    <cellWatch r="G20331"/>
    <cellWatch r="G20332"/>
    <cellWatch r="G20333"/>
    <cellWatch r="G20334"/>
    <cellWatch r="G20335"/>
    <cellWatch r="G20336"/>
    <cellWatch r="G20337"/>
    <cellWatch r="G20338"/>
    <cellWatch r="G20339"/>
    <cellWatch r="G20340"/>
    <cellWatch r="G20341"/>
    <cellWatch r="G20342"/>
    <cellWatch r="G20343"/>
    <cellWatch r="G20344"/>
    <cellWatch r="G20345"/>
    <cellWatch r="G20346"/>
    <cellWatch r="G20347"/>
    <cellWatch r="G20348"/>
    <cellWatch r="G20349"/>
    <cellWatch r="G20350"/>
    <cellWatch r="G20351"/>
    <cellWatch r="G20352"/>
    <cellWatch r="G20353"/>
    <cellWatch r="G20354"/>
    <cellWatch r="G20355"/>
    <cellWatch r="G20356"/>
    <cellWatch r="G20357"/>
    <cellWatch r="G20358"/>
    <cellWatch r="G20359"/>
    <cellWatch r="G20360"/>
    <cellWatch r="G20361"/>
    <cellWatch r="G20362"/>
    <cellWatch r="G20363"/>
    <cellWatch r="G20364"/>
    <cellWatch r="G20365"/>
    <cellWatch r="G20366"/>
    <cellWatch r="G20367"/>
    <cellWatch r="G20368"/>
    <cellWatch r="G20369"/>
    <cellWatch r="G20370"/>
    <cellWatch r="G20371"/>
    <cellWatch r="G20372"/>
    <cellWatch r="G20373"/>
    <cellWatch r="G20374"/>
    <cellWatch r="G20375"/>
    <cellWatch r="G20376"/>
    <cellWatch r="G20377"/>
    <cellWatch r="G20378"/>
    <cellWatch r="G20379"/>
    <cellWatch r="G20380"/>
    <cellWatch r="G20381"/>
    <cellWatch r="G20382"/>
    <cellWatch r="G20383"/>
    <cellWatch r="G20384"/>
    <cellWatch r="G20385"/>
    <cellWatch r="G20386"/>
    <cellWatch r="G20387"/>
    <cellWatch r="G20388"/>
    <cellWatch r="G20389"/>
    <cellWatch r="G20390"/>
    <cellWatch r="G20391"/>
    <cellWatch r="G20392"/>
    <cellWatch r="G20393"/>
    <cellWatch r="G20394"/>
    <cellWatch r="G20395"/>
    <cellWatch r="G20396"/>
    <cellWatch r="G20397"/>
    <cellWatch r="G20398"/>
    <cellWatch r="G20399"/>
    <cellWatch r="G20400"/>
    <cellWatch r="G20401"/>
    <cellWatch r="G20402"/>
    <cellWatch r="G20403"/>
    <cellWatch r="G20404"/>
    <cellWatch r="G20405"/>
    <cellWatch r="G20406"/>
    <cellWatch r="G20407"/>
    <cellWatch r="G20408"/>
    <cellWatch r="G20409"/>
    <cellWatch r="G20410"/>
    <cellWatch r="G20411"/>
    <cellWatch r="G20412"/>
    <cellWatch r="G20413"/>
    <cellWatch r="G20414"/>
    <cellWatch r="G20415"/>
    <cellWatch r="G20416"/>
    <cellWatch r="G20417"/>
    <cellWatch r="G20418"/>
    <cellWatch r="G20419"/>
    <cellWatch r="G20420"/>
    <cellWatch r="G20421"/>
    <cellWatch r="G20422"/>
    <cellWatch r="G20423"/>
    <cellWatch r="G20424"/>
    <cellWatch r="G20425"/>
    <cellWatch r="G20426"/>
    <cellWatch r="G20427"/>
    <cellWatch r="G20428"/>
    <cellWatch r="G20429"/>
    <cellWatch r="G20430"/>
    <cellWatch r="G20431"/>
    <cellWatch r="G20432"/>
    <cellWatch r="G20433"/>
    <cellWatch r="G20434"/>
    <cellWatch r="G20435"/>
    <cellWatch r="G20436"/>
    <cellWatch r="G20437"/>
    <cellWatch r="G20438"/>
    <cellWatch r="G20439"/>
    <cellWatch r="G20440"/>
    <cellWatch r="G20441"/>
    <cellWatch r="G20442"/>
    <cellWatch r="G20443"/>
    <cellWatch r="G20444"/>
    <cellWatch r="G20445"/>
    <cellWatch r="G20446"/>
    <cellWatch r="G20447"/>
    <cellWatch r="G20448"/>
    <cellWatch r="G20449"/>
    <cellWatch r="G20450"/>
    <cellWatch r="G20451"/>
    <cellWatch r="G20452"/>
    <cellWatch r="G20453"/>
    <cellWatch r="G20454"/>
    <cellWatch r="G20455"/>
    <cellWatch r="G20456"/>
    <cellWatch r="G20457"/>
    <cellWatch r="G20458"/>
    <cellWatch r="G20459"/>
    <cellWatch r="G20460"/>
    <cellWatch r="G20461"/>
    <cellWatch r="G20462"/>
    <cellWatch r="G20463"/>
    <cellWatch r="G20464"/>
    <cellWatch r="G20465"/>
    <cellWatch r="G20466"/>
    <cellWatch r="G20467"/>
    <cellWatch r="G20468"/>
    <cellWatch r="G20469"/>
    <cellWatch r="G20470"/>
    <cellWatch r="G20471"/>
    <cellWatch r="G20472"/>
    <cellWatch r="G20473"/>
    <cellWatch r="G20474"/>
    <cellWatch r="G20475"/>
    <cellWatch r="G20476"/>
    <cellWatch r="G20477"/>
    <cellWatch r="G20478"/>
    <cellWatch r="G20479"/>
    <cellWatch r="G20480"/>
    <cellWatch r="G20481"/>
    <cellWatch r="G20482"/>
    <cellWatch r="G20483"/>
    <cellWatch r="G20484"/>
    <cellWatch r="G20485"/>
    <cellWatch r="G20486"/>
    <cellWatch r="G20487"/>
    <cellWatch r="G20488"/>
    <cellWatch r="G20489"/>
    <cellWatch r="G20490"/>
    <cellWatch r="G20491"/>
    <cellWatch r="G20492"/>
    <cellWatch r="G20493"/>
    <cellWatch r="G20494"/>
    <cellWatch r="G20495"/>
    <cellWatch r="G20496"/>
    <cellWatch r="G20497"/>
    <cellWatch r="G20498"/>
    <cellWatch r="G20499"/>
    <cellWatch r="G20500"/>
    <cellWatch r="G20501"/>
    <cellWatch r="G20502"/>
    <cellWatch r="G20503"/>
    <cellWatch r="G20504"/>
    <cellWatch r="G20505"/>
    <cellWatch r="G20506"/>
    <cellWatch r="G20507"/>
    <cellWatch r="G20508"/>
    <cellWatch r="G20509"/>
    <cellWatch r="G20510"/>
    <cellWatch r="G20511"/>
    <cellWatch r="G20512"/>
    <cellWatch r="G20513"/>
    <cellWatch r="G20514"/>
    <cellWatch r="G20515"/>
    <cellWatch r="G20516"/>
    <cellWatch r="G20517"/>
    <cellWatch r="G20518"/>
    <cellWatch r="G20519"/>
    <cellWatch r="G20520"/>
    <cellWatch r="G20521"/>
    <cellWatch r="G20522"/>
    <cellWatch r="G20523"/>
    <cellWatch r="G20524"/>
    <cellWatch r="G20525"/>
    <cellWatch r="G20526"/>
    <cellWatch r="G20527"/>
    <cellWatch r="G20528"/>
    <cellWatch r="G20529"/>
    <cellWatch r="G20530"/>
    <cellWatch r="G20531"/>
    <cellWatch r="G20532"/>
    <cellWatch r="G20533"/>
    <cellWatch r="G20534"/>
    <cellWatch r="G20535"/>
    <cellWatch r="G20536"/>
    <cellWatch r="G20537"/>
    <cellWatch r="G20538"/>
    <cellWatch r="G20539"/>
    <cellWatch r="G20540"/>
    <cellWatch r="G20541"/>
    <cellWatch r="G20542"/>
    <cellWatch r="G20543"/>
    <cellWatch r="G20544"/>
    <cellWatch r="G20545"/>
    <cellWatch r="G20546"/>
    <cellWatch r="G20547"/>
    <cellWatch r="G20548"/>
    <cellWatch r="G20549"/>
    <cellWatch r="G20550"/>
    <cellWatch r="G20551"/>
    <cellWatch r="G20552"/>
    <cellWatch r="G20553"/>
    <cellWatch r="G20554"/>
    <cellWatch r="G20555"/>
    <cellWatch r="G20556"/>
    <cellWatch r="G20557"/>
    <cellWatch r="G20558"/>
    <cellWatch r="G20559"/>
    <cellWatch r="G20560"/>
    <cellWatch r="G20561"/>
    <cellWatch r="G20562"/>
    <cellWatch r="G20563"/>
    <cellWatch r="G20564"/>
    <cellWatch r="G20565"/>
    <cellWatch r="G20566"/>
    <cellWatch r="G20567"/>
    <cellWatch r="G20568"/>
    <cellWatch r="G20569"/>
    <cellWatch r="G20570"/>
    <cellWatch r="G20571"/>
    <cellWatch r="G20572"/>
    <cellWatch r="G20573"/>
    <cellWatch r="G20574"/>
    <cellWatch r="G20575"/>
    <cellWatch r="G20576"/>
    <cellWatch r="G20577"/>
    <cellWatch r="G20578"/>
    <cellWatch r="G20579"/>
    <cellWatch r="G20580"/>
    <cellWatch r="G20581"/>
    <cellWatch r="G20582"/>
    <cellWatch r="G20583"/>
    <cellWatch r="G20584"/>
    <cellWatch r="G20585"/>
    <cellWatch r="G20586"/>
    <cellWatch r="G20587"/>
    <cellWatch r="G20588"/>
    <cellWatch r="G20589"/>
    <cellWatch r="G20590"/>
    <cellWatch r="G20591"/>
    <cellWatch r="G20592"/>
    <cellWatch r="G20593"/>
    <cellWatch r="G20594"/>
    <cellWatch r="G20595"/>
    <cellWatch r="G20596"/>
    <cellWatch r="G20597"/>
    <cellWatch r="G20598"/>
    <cellWatch r="G20599"/>
    <cellWatch r="G20600"/>
    <cellWatch r="G20601"/>
    <cellWatch r="G20602"/>
    <cellWatch r="G20603"/>
    <cellWatch r="G20604"/>
    <cellWatch r="G20605"/>
    <cellWatch r="G20606"/>
    <cellWatch r="G20607"/>
    <cellWatch r="G20608"/>
    <cellWatch r="G20609"/>
    <cellWatch r="G20610"/>
    <cellWatch r="G20611"/>
    <cellWatch r="G20612"/>
    <cellWatch r="G20613"/>
    <cellWatch r="G20614"/>
    <cellWatch r="G20615"/>
    <cellWatch r="G20616"/>
    <cellWatch r="G20617"/>
    <cellWatch r="G20618"/>
    <cellWatch r="G20619"/>
    <cellWatch r="G20620"/>
    <cellWatch r="G20621"/>
    <cellWatch r="G20622"/>
    <cellWatch r="G20623"/>
    <cellWatch r="G20624"/>
    <cellWatch r="G20625"/>
    <cellWatch r="G20626"/>
    <cellWatch r="G20627"/>
    <cellWatch r="G20628"/>
    <cellWatch r="G20629"/>
    <cellWatch r="G20630"/>
    <cellWatch r="G20631"/>
    <cellWatch r="G20632"/>
    <cellWatch r="G20633"/>
    <cellWatch r="G20634"/>
    <cellWatch r="G20635"/>
    <cellWatch r="G20636"/>
    <cellWatch r="G20637"/>
    <cellWatch r="G20638"/>
    <cellWatch r="G20639"/>
    <cellWatch r="G20640"/>
    <cellWatch r="G20641"/>
    <cellWatch r="G20642"/>
    <cellWatch r="G20643"/>
    <cellWatch r="G20644"/>
    <cellWatch r="G20645"/>
    <cellWatch r="G20646"/>
    <cellWatch r="G20647"/>
    <cellWatch r="G20648"/>
    <cellWatch r="G20649"/>
    <cellWatch r="G20650"/>
    <cellWatch r="G20651"/>
    <cellWatch r="G20652"/>
    <cellWatch r="G20653"/>
    <cellWatch r="G20654"/>
    <cellWatch r="G20655"/>
    <cellWatch r="G20656"/>
    <cellWatch r="G20657"/>
    <cellWatch r="G20658"/>
    <cellWatch r="G20659"/>
    <cellWatch r="G20660"/>
    <cellWatch r="G20661"/>
    <cellWatch r="G20662"/>
    <cellWatch r="G20663"/>
    <cellWatch r="G20664"/>
    <cellWatch r="G20665"/>
    <cellWatch r="G20666"/>
    <cellWatch r="G20667"/>
    <cellWatch r="G20668"/>
    <cellWatch r="G20669"/>
    <cellWatch r="G20670"/>
    <cellWatch r="G20671"/>
    <cellWatch r="G20672"/>
    <cellWatch r="G20673"/>
    <cellWatch r="G20674"/>
    <cellWatch r="G20675"/>
    <cellWatch r="G20676"/>
    <cellWatch r="G20677"/>
    <cellWatch r="G20678"/>
    <cellWatch r="G20679"/>
    <cellWatch r="G20680"/>
    <cellWatch r="G20681"/>
    <cellWatch r="G20682"/>
    <cellWatch r="G20683"/>
    <cellWatch r="G20684"/>
    <cellWatch r="G20685"/>
    <cellWatch r="G20686"/>
    <cellWatch r="G20687"/>
    <cellWatch r="G20688"/>
    <cellWatch r="G20689"/>
    <cellWatch r="G20690"/>
    <cellWatch r="G20691"/>
    <cellWatch r="G20692"/>
    <cellWatch r="G20693"/>
    <cellWatch r="G20694"/>
    <cellWatch r="G20695"/>
    <cellWatch r="G20696"/>
    <cellWatch r="G20697"/>
    <cellWatch r="G20698"/>
    <cellWatch r="G20699"/>
    <cellWatch r="G20700"/>
    <cellWatch r="G20701"/>
    <cellWatch r="G20702"/>
    <cellWatch r="G20703"/>
    <cellWatch r="G20704"/>
    <cellWatch r="G20705"/>
    <cellWatch r="G20706"/>
    <cellWatch r="G20707"/>
    <cellWatch r="G20708"/>
    <cellWatch r="G20709"/>
    <cellWatch r="G20710"/>
    <cellWatch r="G20711"/>
    <cellWatch r="G20712"/>
    <cellWatch r="G20713"/>
    <cellWatch r="G20714"/>
    <cellWatch r="G20715"/>
    <cellWatch r="G20716"/>
    <cellWatch r="G20717"/>
    <cellWatch r="G20718"/>
    <cellWatch r="G20719"/>
    <cellWatch r="G20720"/>
    <cellWatch r="G20721"/>
    <cellWatch r="G20722"/>
    <cellWatch r="G20723"/>
    <cellWatch r="G20724"/>
    <cellWatch r="G20725"/>
    <cellWatch r="G20726"/>
    <cellWatch r="G20727"/>
    <cellWatch r="G20728"/>
    <cellWatch r="G20729"/>
    <cellWatch r="G20730"/>
    <cellWatch r="G20731"/>
    <cellWatch r="G20732"/>
    <cellWatch r="G20733"/>
    <cellWatch r="G20734"/>
    <cellWatch r="G20735"/>
    <cellWatch r="G20736"/>
    <cellWatch r="G20737"/>
    <cellWatch r="G20738"/>
    <cellWatch r="G20739"/>
    <cellWatch r="G20740"/>
    <cellWatch r="G20741"/>
    <cellWatch r="G20742"/>
    <cellWatch r="G20743"/>
    <cellWatch r="G20744"/>
    <cellWatch r="G20745"/>
    <cellWatch r="G20746"/>
    <cellWatch r="G20747"/>
    <cellWatch r="G20748"/>
    <cellWatch r="G20749"/>
    <cellWatch r="G20750"/>
    <cellWatch r="G20751"/>
    <cellWatch r="G20752"/>
    <cellWatch r="G20753"/>
    <cellWatch r="G20754"/>
    <cellWatch r="G20755"/>
    <cellWatch r="G20756"/>
    <cellWatch r="G20757"/>
    <cellWatch r="G20758"/>
    <cellWatch r="G20759"/>
    <cellWatch r="G20760"/>
    <cellWatch r="G20761"/>
    <cellWatch r="G20762"/>
    <cellWatch r="G20763"/>
    <cellWatch r="G20764"/>
    <cellWatch r="G20765"/>
    <cellWatch r="G20766"/>
    <cellWatch r="G20767"/>
    <cellWatch r="G20768"/>
    <cellWatch r="G20769"/>
    <cellWatch r="G20770"/>
    <cellWatch r="G20771"/>
    <cellWatch r="G20772"/>
    <cellWatch r="G20773"/>
    <cellWatch r="G20774"/>
    <cellWatch r="G20775"/>
    <cellWatch r="G20776"/>
    <cellWatch r="G20777"/>
    <cellWatch r="G20778"/>
    <cellWatch r="G20779"/>
    <cellWatch r="G20780"/>
    <cellWatch r="G20781"/>
    <cellWatch r="G20782"/>
    <cellWatch r="G20783"/>
    <cellWatch r="G20784"/>
    <cellWatch r="G20785"/>
    <cellWatch r="G20786"/>
    <cellWatch r="G20787"/>
    <cellWatch r="G20788"/>
    <cellWatch r="G20789"/>
    <cellWatch r="G20790"/>
    <cellWatch r="G20791"/>
    <cellWatch r="G20792"/>
    <cellWatch r="G20793"/>
    <cellWatch r="G20794"/>
    <cellWatch r="G20795"/>
    <cellWatch r="G20796"/>
    <cellWatch r="G20797"/>
    <cellWatch r="G20798"/>
    <cellWatch r="G20799"/>
    <cellWatch r="G20800"/>
    <cellWatch r="G20801"/>
    <cellWatch r="G20802"/>
    <cellWatch r="G20803"/>
    <cellWatch r="G20804"/>
    <cellWatch r="G20805"/>
    <cellWatch r="G20806"/>
    <cellWatch r="G20807"/>
    <cellWatch r="G20808"/>
    <cellWatch r="G20809"/>
    <cellWatch r="G20810"/>
    <cellWatch r="G20811"/>
    <cellWatch r="G20812"/>
    <cellWatch r="G20813"/>
    <cellWatch r="G20814"/>
    <cellWatch r="G20815"/>
    <cellWatch r="G20816"/>
    <cellWatch r="G20817"/>
    <cellWatch r="G20818"/>
    <cellWatch r="G20819"/>
    <cellWatch r="G20820"/>
    <cellWatch r="G20821"/>
    <cellWatch r="G20822"/>
    <cellWatch r="G20823"/>
    <cellWatch r="G20824"/>
    <cellWatch r="G20825"/>
    <cellWatch r="G20826"/>
    <cellWatch r="G20827"/>
    <cellWatch r="G20828"/>
    <cellWatch r="G20829"/>
    <cellWatch r="G20830"/>
    <cellWatch r="G20831"/>
    <cellWatch r="G20832"/>
    <cellWatch r="G20833"/>
    <cellWatch r="G20834"/>
    <cellWatch r="G20835"/>
    <cellWatch r="G20836"/>
    <cellWatch r="G20837"/>
    <cellWatch r="G20838"/>
    <cellWatch r="G20839"/>
    <cellWatch r="G20840"/>
    <cellWatch r="G20841"/>
    <cellWatch r="G20842"/>
    <cellWatch r="G20843"/>
    <cellWatch r="G20844"/>
    <cellWatch r="G20845"/>
    <cellWatch r="G20846"/>
    <cellWatch r="G20847"/>
    <cellWatch r="G20848"/>
    <cellWatch r="G20849"/>
    <cellWatch r="G20850"/>
    <cellWatch r="G20851"/>
    <cellWatch r="G20852"/>
    <cellWatch r="G20853"/>
    <cellWatch r="G20854"/>
    <cellWatch r="G20855"/>
    <cellWatch r="G20856"/>
    <cellWatch r="G20857"/>
    <cellWatch r="G20858"/>
    <cellWatch r="G20859"/>
    <cellWatch r="G20860"/>
    <cellWatch r="G20861"/>
    <cellWatch r="G20862"/>
    <cellWatch r="G20863"/>
    <cellWatch r="G20864"/>
    <cellWatch r="G20865"/>
    <cellWatch r="G20866"/>
    <cellWatch r="G20867"/>
    <cellWatch r="G20868"/>
    <cellWatch r="G20869"/>
    <cellWatch r="G20870"/>
    <cellWatch r="G20871"/>
    <cellWatch r="G20872"/>
    <cellWatch r="G20873"/>
    <cellWatch r="G20874"/>
    <cellWatch r="G20875"/>
    <cellWatch r="G20876"/>
    <cellWatch r="G20877"/>
    <cellWatch r="G20878"/>
    <cellWatch r="G20879"/>
    <cellWatch r="G20880"/>
    <cellWatch r="G20881"/>
    <cellWatch r="G20882"/>
    <cellWatch r="G20883"/>
    <cellWatch r="G20884"/>
    <cellWatch r="G20885"/>
    <cellWatch r="G20886"/>
    <cellWatch r="G20887"/>
    <cellWatch r="G20888"/>
    <cellWatch r="G20889"/>
    <cellWatch r="G20890"/>
    <cellWatch r="G20891"/>
    <cellWatch r="G20892"/>
    <cellWatch r="G20893"/>
    <cellWatch r="G20894"/>
    <cellWatch r="G20895"/>
    <cellWatch r="G20896"/>
    <cellWatch r="G20897"/>
    <cellWatch r="G20898"/>
    <cellWatch r="G20899"/>
    <cellWatch r="G20900"/>
    <cellWatch r="G20901"/>
    <cellWatch r="G20902"/>
    <cellWatch r="G20903"/>
    <cellWatch r="G20904"/>
    <cellWatch r="G20905"/>
    <cellWatch r="G20906"/>
    <cellWatch r="G20907"/>
    <cellWatch r="G20908"/>
    <cellWatch r="G20909"/>
    <cellWatch r="G20910"/>
    <cellWatch r="G20911"/>
    <cellWatch r="G20912"/>
    <cellWatch r="G20913"/>
    <cellWatch r="G20914"/>
    <cellWatch r="G20915"/>
    <cellWatch r="G20916"/>
    <cellWatch r="G20917"/>
    <cellWatch r="G20918"/>
    <cellWatch r="G20919"/>
    <cellWatch r="G20920"/>
    <cellWatch r="G20921"/>
    <cellWatch r="G20922"/>
    <cellWatch r="G20923"/>
    <cellWatch r="G20924"/>
    <cellWatch r="G20925"/>
    <cellWatch r="G20926"/>
    <cellWatch r="G20927"/>
    <cellWatch r="G20928"/>
    <cellWatch r="G20929"/>
    <cellWatch r="G20930"/>
    <cellWatch r="G20931"/>
    <cellWatch r="G20932"/>
    <cellWatch r="G20933"/>
    <cellWatch r="G20934"/>
    <cellWatch r="G20935"/>
    <cellWatch r="G20936"/>
    <cellWatch r="G20937"/>
    <cellWatch r="G20938"/>
    <cellWatch r="G20939"/>
    <cellWatch r="G20940"/>
    <cellWatch r="G20941"/>
    <cellWatch r="G20942"/>
    <cellWatch r="G20943"/>
    <cellWatch r="G20944"/>
    <cellWatch r="G20945"/>
    <cellWatch r="G20946"/>
    <cellWatch r="G20947"/>
    <cellWatch r="G20948"/>
    <cellWatch r="G20949"/>
    <cellWatch r="G20950"/>
    <cellWatch r="G20951"/>
    <cellWatch r="G20952"/>
    <cellWatch r="G20953"/>
    <cellWatch r="G20954"/>
    <cellWatch r="G20955"/>
    <cellWatch r="G20956"/>
    <cellWatch r="G20957"/>
    <cellWatch r="G20958"/>
    <cellWatch r="G20959"/>
    <cellWatch r="G20960"/>
    <cellWatch r="G20961"/>
    <cellWatch r="G20962"/>
    <cellWatch r="G20963"/>
    <cellWatch r="G20964"/>
    <cellWatch r="G20965"/>
    <cellWatch r="G20966"/>
    <cellWatch r="G20967"/>
    <cellWatch r="G20968"/>
    <cellWatch r="G20969"/>
    <cellWatch r="G20970"/>
    <cellWatch r="G20971"/>
    <cellWatch r="G20972"/>
    <cellWatch r="G20973"/>
    <cellWatch r="G20974"/>
    <cellWatch r="G20975"/>
    <cellWatch r="G20976"/>
    <cellWatch r="G20977"/>
    <cellWatch r="G20978"/>
    <cellWatch r="G20979"/>
    <cellWatch r="G20980"/>
    <cellWatch r="G20981"/>
    <cellWatch r="G20982"/>
    <cellWatch r="G20983"/>
    <cellWatch r="G20984"/>
    <cellWatch r="G20985"/>
    <cellWatch r="G20986"/>
    <cellWatch r="G20987"/>
    <cellWatch r="G20988"/>
    <cellWatch r="G20989"/>
    <cellWatch r="G20990"/>
    <cellWatch r="G20991"/>
    <cellWatch r="G20992"/>
    <cellWatch r="G20993"/>
    <cellWatch r="G20994"/>
    <cellWatch r="G20995"/>
    <cellWatch r="G20996"/>
    <cellWatch r="G20997"/>
    <cellWatch r="G20998"/>
    <cellWatch r="G20999"/>
    <cellWatch r="G21000"/>
    <cellWatch r="G21001"/>
    <cellWatch r="G21002"/>
    <cellWatch r="G21003"/>
    <cellWatch r="G21004"/>
    <cellWatch r="G21005"/>
    <cellWatch r="G21006"/>
    <cellWatch r="G21007"/>
    <cellWatch r="G21008"/>
    <cellWatch r="G21009"/>
    <cellWatch r="G21010"/>
    <cellWatch r="G21011"/>
    <cellWatch r="G21012"/>
    <cellWatch r="G21013"/>
    <cellWatch r="G21014"/>
    <cellWatch r="G21015"/>
    <cellWatch r="G21016"/>
    <cellWatch r="G21017"/>
    <cellWatch r="G21018"/>
    <cellWatch r="G21019"/>
    <cellWatch r="G21020"/>
    <cellWatch r="G21021"/>
    <cellWatch r="G21022"/>
    <cellWatch r="G21023"/>
    <cellWatch r="G21024"/>
    <cellWatch r="G21025"/>
    <cellWatch r="G21026"/>
    <cellWatch r="G21027"/>
    <cellWatch r="G21028"/>
    <cellWatch r="G21029"/>
    <cellWatch r="G21030"/>
    <cellWatch r="G21031"/>
    <cellWatch r="G21032"/>
    <cellWatch r="G21033"/>
    <cellWatch r="G21034"/>
    <cellWatch r="G21035"/>
    <cellWatch r="G21036"/>
    <cellWatch r="G21037"/>
    <cellWatch r="G21038"/>
    <cellWatch r="G21039"/>
    <cellWatch r="G21040"/>
    <cellWatch r="G21041"/>
    <cellWatch r="G21042"/>
    <cellWatch r="G21043"/>
    <cellWatch r="G21044"/>
    <cellWatch r="G21045"/>
    <cellWatch r="G21046"/>
    <cellWatch r="G21047"/>
    <cellWatch r="G21048"/>
    <cellWatch r="G21049"/>
    <cellWatch r="G21050"/>
    <cellWatch r="G21051"/>
    <cellWatch r="G21052"/>
    <cellWatch r="G21053"/>
    <cellWatch r="G21054"/>
    <cellWatch r="G21055"/>
    <cellWatch r="G21056"/>
    <cellWatch r="G21057"/>
    <cellWatch r="G21058"/>
    <cellWatch r="G21059"/>
    <cellWatch r="G21060"/>
    <cellWatch r="G21061"/>
    <cellWatch r="G21062"/>
    <cellWatch r="G21063"/>
    <cellWatch r="G21064"/>
    <cellWatch r="G21065"/>
    <cellWatch r="G21066"/>
    <cellWatch r="G21067"/>
    <cellWatch r="G21068"/>
    <cellWatch r="G21069"/>
    <cellWatch r="G21070"/>
    <cellWatch r="G21071"/>
    <cellWatch r="G21072"/>
    <cellWatch r="G21073"/>
    <cellWatch r="G21074"/>
    <cellWatch r="G21075"/>
    <cellWatch r="G21076"/>
    <cellWatch r="G21077"/>
    <cellWatch r="G21078"/>
    <cellWatch r="G21079"/>
    <cellWatch r="G21080"/>
    <cellWatch r="G21081"/>
    <cellWatch r="G21082"/>
    <cellWatch r="G21083"/>
    <cellWatch r="G21084"/>
    <cellWatch r="G21085"/>
    <cellWatch r="G21086"/>
    <cellWatch r="G21087"/>
    <cellWatch r="G21088"/>
    <cellWatch r="G21089"/>
    <cellWatch r="G21090"/>
    <cellWatch r="G21091"/>
    <cellWatch r="G21092"/>
    <cellWatch r="G21093"/>
    <cellWatch r="G21094"/>
    <cellWatch r="G21095"/>
    <cellWatch r="G21096"/>
    <cellWatch r="G21097"/>
    <cellWatch r="G21098"/>
    <cellWatch r="G21099"/>
    <cellWatch r="G21100"/>
    <cellWatch r="G21101"/>
    <cellWatch r="G21102"/>
    <cellWatch r="G21103"/>
    <cellWatch r="G21104"/>
    <cellWatch r="G21105"/>
    <cellWatch r="G21106"/>
    <cellWatch r="G21107"/>
    <cellWatch r="G21108"/>
    <cellWatch r="G21109"/>
    <cellWatch r="G21110"/>
    <cellWatch r="G21111"/>
    <cellWatch r="G21112"/>
    <cellWatch r="G21113"/>
    <cellWatch r="G21114"/>
    <cellWatch r="G21115"/>
    <cellWatch r="G21116"/>
    <cellWatch r="G21117"/>
    <cellWatch r="G21118"/>
    <cellWatch r="G21119"/>
    <cellWatch r="G21120"/>
    <cellWatch r="G21121"/>
    <cellWatch r="G21122"/>
    <cellWatch r="G21123"/>
    <cellWatch r="G21124"/>
    <cellWatch r="G21125"/>
    <cellWatch r="G21126"/>
    <cellWatch r="G21127"/>
    <cellWatch r="G21128"/>
    <cellWatch r="G21129"/>
    <cellWatch r="G21130"/>
    <cellWatch r="G21131"/>
    <cellWatch r="G21132"/>
    <cellWatch r="G21133"/>
    <cellWatch r="G21134"/>
    <cellWatch r="G21135"/>
    <cellWatch r="G21136"/>
    <cellWatch r="G21137"/>
    <cellWatch r="G21138"/>
    <cellWatch r="G21139"/>
    <cellWatch r="G21140"/>
    <cellWatch r="G21141"/>
    <cellWatch r="G21142"/>
    <cellWatch r="G21143"/>
    <cellWatch r="G21144"/>
    <cellWatch r="G21145"/>
    <cellWatch r="G21146"/>
    <cellWatch r="G21147"/>
    <cellWatch r="G21148"/>
    <cellWatch r="G21149"/>
    <cellWatch r="G21150"/>
    <cellWatch r="G21151"/>
    <cellWatch r="G21152"/>
    <cellWatch r="G21153"/>
    <cellWatch r="G21154"/>
    <cellWatch r="G21155"/>
    <cellWatch r="G21156"/>
    <cellWatch r="G21157"/>
    <cellWatch r="G21158"/>
    <cellWatch r="G21159"/>
    <cellWatch r="G21160"/>
    <cellWatch r="G21161"/>
    <cellWatch r="G21162"/>
    <cellWatch r="G21163"/>
    <cellWatch r="G21164"/>
    <cellWatch r="G21165"/>
    <cellWatch r="G21166"/>
    <cellWatch r="G21167"/>
    <cellWatch r="G21168"/>
    <cellWatch r="G21169"/>
    <cellWatch r="G21170"/>
    <cellWatch r="G21171"/>
    <cellWatch r="G21172"/>
    <cellWatch r="G21173"/>
    <cellWatch r="G21174"/>
    <cellWatch r="G21175"/>
    <cellWatch r="G21176"/>
    <cellWatch r="G21177"/>
    <cellWatch r="G21178"/>
    <cellWatch r="G21179"/>
    <cellWatch r="G21180"/>
    <cellWatch r="G21181"/>
    <cellWatch r="G21182"/>
    <cellWatch r="G21183"/>
    <cellWatch r="G21184"/>
    <cellWatch r="G21185"/>
    <cellWatch r="G21186"/>
    <cellWatch r="G21187"/>
    <cellWatch r="G21188"/>
    <cellWatch r="G21189"/>
    <cellWatch r="G21190"/>
    <cellWatch r="G21191"/>
    <cellWatch r="G21192"/>
    <cellWatch r="G21193"/>
    <cellWatch r="G21194"/>
    <cellWatch r="G21195"/>
    <cellWatch r="G21196"/>
    <cellWatch r="G21197"/>
    <cellWatch r="G21198"/>
    <cellWatch r="G21199"/>
    <cellWatch r="G21200"/>
    <cellWatch r="G21201"/>
    <cellWatch r="G21202"/>
    <cellWatch r="G21203"/>
    <cellWatch r="G21204"/>
    <cellWatch r="G21205"/>
    <cellWatch r="G21206"/>
    <cellWatch r="G21207"/>
    <cellWatch r="G21208"/>
    <cellWatch r="G21209"/>
    <cellWatch r="G21210"/>
    <cellWatch r="G21211"/>
    <cellWatch r="G21212"/>
    <cellWatch r="G21213"/>
    <cellWatch r="G21214"/>
    <cellWatch r="G21215"/>
    <cellWatch r="G21216"/>
    <cellWatch r="G21217"/>
    <cellWatch r="G21218"/>
    <cellWatch r="G21219"/>
    <cellWatch r="G21220"/>
    <cellWatch r="G21221"/>
    <cellWatch r="G21222"/>
    <cellWatch r="G21223"/>
    <cellWatch r="G21224"/>
    <cellWatch r="G21225"/>
    <cellWatch r="G21226"/>
    <cellWatch r="G21227"/>
    <cellWatch r="G21228"/>
    <cellWatch r="G21229"/>
    <cellWatch r="G21230"/>
    <cellWatch r="G21231"/>
    <cellWatch r="G21232"/>
    <cellWatch r="G21233"/>
    <cellWatch r="G21234"/>
    <cellWatch r="G21235"/>
    <cellWatch r="G21236"/>
    <cellWatch r="G21237"/>
    <cellWatch r="G21238"/>
    <cellWatch r="G21239"/>
    <cellWatch r="G21240"/>
    <cellWatch r="G21241"/>
    <cellWatch r="G21242"/>
    <cellWatch r="G21243"/>
    <cellWatch r="G21244"/>
    <cellWatch r="G21245"/>
    <cellWatch r="G21246"/>
    <cellWatch r="G21247"/>
    <cellWatch r="G21248"/>
    <cellWatch r="G21249"/>
    <cellWatch r="G21250"/>
    <cellWatch r="G21251"/>
    <cellWatch r="G21252"/>
    <cellWatch r="G21253"/>
    <cellWatch r="G21254"/>
    <cellWatch r="G21255"/>
    <cellWatch r="G21256"/>
    <cellWatch r="G21257"/>
    <cellWatch r="G21258"/>
    <cellWatch r="G21259"/>
    <cellWatch r="G21260"/>
    <cellWatch r="G21261"/>
    <cellWatch r="G21262"/>
    <cellWatch r="G21263"/>
    <cellWatch r="G21264"/>
    <cellWatch r="G21265"/>
    <cellWatch r="G21266"/>
    <cellWatch r="G21267"/>
    <cellWatch r="G21268"/>
    <cellWatch r="G21269"/>
    <cellWatch r="G21270"/>
    <cellWatch r="G21271"/>
    <cellWatch r="G21272"/>
    <cellWatch r="G21273"/>
    <cellWatch r="G21274"/>
    <cellWatch r="G21275"/>
    <cellWatch r="G21276"/>
    <cellWatch r="G21277"/>
    <cellWatch r="G21278"/>
    <cellWatch r="G21279"/>
    <cellWatch r="G21280"/>
    <cellWatch r="G21281"/>
    <cellWatch r="G21282"/>
    <cellWatch r="G21283"/>
    <cellWatch r="G21284"/>
    <cellWatch r="G21285"/>
    <cellWatch r="G21286"/>
    <cellWatch r="G21287"/>
    <cellWatch r="G21288"/>
    <cellWatch r="G21289"/>
    <cellWatch r="G21290"/>
    <cellWatch r="G21291"/>
    <cellWatch r="G21292"/>
    <cellWatch r="G21293"/>
    <cellWatch r="G21294"/>
    <cellWatch r="G21295"/>
    <cellWatch r="G21296"/>
    <cellWatch r="G21297"/>
    <cellWatch r="G21298"/>
    <cellWatch r="G21299"/>
    <cellWatch r="G21300"/>
    <cellWatch r="G21301"/>
    <cellWatch r="G21302"/>
    <cellWatch r="G21303"/>
    <cellWatch r="G21304"/>
    <cellWatch r="G21305"/>
    <cellWatch r="G21306"/>
    <cellWatch r="G21307"/>
    <cellWatch r="G21308"/>
    <cellWatch r="G21309"/>
    <cellWatch r="G21310"/>
    <cellWatch r="G21311"/>
    <cellWatch r="G21312"/>
    <cellWatch r="G21313"/>
    <cellWatch r="G21314"/>
    <cellWatch r="G21315"/>
    <cellWatch r="G21316"/>
    <cellWatch r="G21317"/>
    <cellWatch r="G21318"/>
    <cellWatch r="G21319"/>
    <cellWatch r="G21320"/>
    <cellWatch r="G21321"/>
    <cellWatch r="G21322"/>
    <cellWatch r="G21323"/>
    <cellWatch r="G21324"/>
    <cellWatch r="G21325"/>
    <cellWatch r="G21326"/>
    <cellWatch r="G21327"/>
    <cellWatch r="G21328"/>
    <cellWatch r="G21329"/>
    <cellWatch r="G21330"/>
    <cellWatch r="G21331"/>
    <cellWatch r="G21332"/>
    <cellWatch r="G21333"/>
    <cellWatch r="G21334"/>
    <cellWatch r="G21335"/>
    <cellWatch r="G21336"/>
    <cellWatch r="G21337"/>
    <cellWatch r="G21338"/>
    <cellWatch r="G21339"/>
    <cellWatch r="G21340"/>
    <cellWatch r="G21341"/>
    <cellWatch r="G21342"/>
    <cellWatch r="G21343"/>
    <cellWatch r="G21344"/>
    <cellWatch r="G21345"/>
    <cellWatch r="G21346"/>
    <cellWatch r="G21347"/>
    <cellWatch r="G21348"/>
    <cellWatch r="G21349"/>
    <cellWatch r="G21350"/>
    <cellWatch r="G21351"/>
    <cellWatch r="G21352"/>
    <cellWatch r="G21353"/>
    <cellWatch r="G21354"/>
    <cellWatch r="G21355"/>
    <cellWatch r="G21356"/>
    <cellWatch r="G21357"/>
    <cellWatch r="G21358"/>
    <cellWatch r="G21359"/>
    <cellWatch r="G21360"/>
    <cellWatch r="G21361"/>
    <cellWatch r="G21362"/>
    <cellWatch r="G21363"/>
    <cellWatch r="G21364"/>
    <cellWatch r="G21365"/>
    <cellWatch r="G21366"/>
    <cellWatch r="G21367"/>
    <cellWatch r="G21368"/>
    <cellWatch r="G21369"/>
    <cellWatch r="G21370"/>
    <cellWatch r="G21371"/>
    <cellWatch r="G21372"/>
    <cellWatch r="G21373"/>
    <cellWatch r="G21374"/>
    <cellWatch r="G21375"/>
    <cellWatch r="G21376"/>
    <cellWatch r="G21377"/>
    <cellWatch r="G21378"/>
    <cellWatch r="G21379"/>
    <cellWatch r="G21380"/>
    <cellWatch r="G21381"/>
    <cellWatch r="G21382"/>
    <cellWatch r="G21383"/>
    <cellWatch r="G21384"/>
    <cellWatch r="G21385"/>
    <cellWatch r="G21386"/>
    <cellWatch r="G21387"/>
    <cellWatch r="G21388"/>
    <cellWatch r="G21389"/>
    <cellWatch r="G21390"/>
    <cellWatch r="G21391"/>
    <cellWatch r="G21392"/>
    <cellWatch r="G21393"/>
    <cellWatch r="G21394"/>
    <cellWatch r="G21395"/>
    <cellWatch r="G21396"/>
    <cellWatch r="G21397"/>
    <cellWatch r="G21398"/>
    <cellWatch r="G21399"/>
    <cellWatch r="G21400"/>
    <cellWatch r="G21401"/>
    <cellWatch r="G21402"/>
    <cellWatch r="G21403"/>
    <cellWatch r="G21404"/>
    <cellWatch r="G21405"/>
    <cellWatch r="G21406"/>
    <cellWatch r="G21407"/>
    <cellWatch r="G21408"/>
    <cellWatch r="G21409"/>
    <cellWatch r="G21410"/>
    <cellWatch r="G21411"/>
    <cellWatch r="G21412"/>
    <cellWatch r="G21413"/>
    <cellWatch r="G21414"/>
    <cellWatch r="G21415"/>
    <cellWatch r="G21416"/>
    <cellWatch r="G21417"/>
    <cellWatch r="G21418"/>
    <cellWatch r="G21419"/>
    <cellWatch r="G21420"/>
    <cellWatch r="G21421"/>
    <cellWatch r="G21422"/>
    <cellWatch r="G21423"/>
    <cellWatch r="G21424"/>
    <cellWatch r="G21425"/>
    <cellWatch r="G21426"/>
    <cellWatch r="G21427"/>
    <cellWatch r="G21428"/>
    <cellWatch r="G21429"/>
    <cellWatch r="G21430"/>
    <cellWatch r="G21431"/>
    <cellWatch r="G21432"/>
    <cellWatch r="G21433"/>
    <cellWatch r="G21434"/>
    <cellWatch r="G21435"/>
    <cellWatch r="G21436"/>
    <cellWatch r="G21437"/>
    <cellWatch r="G21438"/>
    <cellWatch r="G21439"/>
    <cellWatch r="G21440"/>
    <cellWatch r="G21441"/>
    <cellWatch r="G21442"/>
    <cellWatch r="G21443"/>
    <cellWatch r="G21444"/>
    <cellWatch r="G21445"/>
    <cellWatch r="G21446"/>
    <cellWatch r="G21447"/>
    <cellWatch r="G21448"/>
    <cellWatch r="G21449"/>
    <cellWatch r="G21450"/>
    <cellWatch r="G21451"/>
    <cellWatch r="G21452"/>
    <cellWatch r="G21453"/>
    <cellWatch r="G21454"/>
    <cellWatch r="G21455"/>
    <cellWatch r="G21456"/>
    <cellWatch r="G21457"/>
    <cellWatch r="G21458"/>
    <cellWatch r="G21459"/>
    <cellWatch r="G21460"/>
    <cellWatch r="G21461"/>
    <cellWatch r="G21462"/>
    <cellWatch r="G21463"/>
    <cellWatch r="G21464"/>
    <cellWatch r="G21465"/>
    <cellWatch r="G21466"/>
    <cellWatch r="G21467"/>
    <cellWatch r="G21468"/>
    <cellWatch r="G21469"/>
    <cellWatch r="G21470"/>
    <cellWatch r="G21471"/>
    <cellWatch r="G21472"/>
    <cellWatch r="G21473"/>
    <cellWatch r="G21474"/>
    <cellWatch r="G21475"/>
    <cellWatch r="G21476"/>
    <cellWatch r="G21477"/>
    <cellWatch r="G21478"/>
    <cellWatch r="G21479"/>
    <cellWatch r="G21480"/>
    <cellWatch r="G21481"/>
    <cellWatch r="G21482"/>
    <cellWatch r="G21483"/>
    <cellWatch r="G21484"/>
    <cellWatch r="G21485"/>
    <cellWatch r="G21486"/>
    <cellWatch r="G21487"/>
    <cellWatch r="G21488"/>
    <cellWatch r="G21489"/>
    <cellWatch r="G21490"/>
    <cellWatch r="G21491"/>
    <cellWatch r="G21492"/>
    <cellWatch r="G21493"/>
    <cellWatch r="G21494"/>
    <cellWatch r="G21495"/>
    <cellWatch r="G21496"/>
    <cellWatch r="G21497"/>
    <cellWatch r="G21498"/>
    <cellWatch r="G21499"/>
    <cellWatch r="G21500"/>
    <cellWatch r="G21501"/>
    <cellWatch r="G21502"/>
    <cellWatch r="G21503"/>
    <cellWatch r="G21504"/>
    <cellWatch r="G21505"/>
    <cellWatch r="G21506"/>
    <cellWatch r="G21507"/>
    <cellWatch r="G21508"/>
    <cellWatch r="G21509"/>
    <cellWatch r="G21510"/>
    <cellWatch r="G21511"/>
    <cellWatch r="G21512"/>
    <cellWatch r="G21513"/>
    <cellWatch r="G21514"/>
    <cellWatch r="G21515"/>
    <cellWatch r="G21516"/>
    <cellWatch r="G21517"/>
    <cellWatch r="G21518"/>
    <cellWatch r="G21519"/>
    <cellWatch r="G21520"/>
    <cellWatch r="G21521"/>
    <cellWatch r="G21522"/>
    <cellWatch r="G21523"/>
    <cellWatch r="G21524"/>
    <cellWatch r="G21525"/>
    <cellWatch r="G21526"/>
    <cellWatch r="G21527"/>
    <cellWatch r="G21528"/>
    <cellWatch r="G21529"/>
    <cellWatch r="G21530"/>
    <cellWatch r="G21531"/>
    <cellWatch r="G21532"/>
    <cellWatch r="G21533"/>
    <cellWatch r="G21534"/>
    <cellWatch r="G21535"/>
    <cellWatch r="G21536"/>
    <cellWatch r="G21537"/>
    <cellWatch r="G21538"/>
    <cellWatch r="G21539"/>
    <cellWatch r="G21540"/>
    <cellWatch r="G21541"/>
    <cellWatch r="G21542"/>
    <cellWatch r="G21543"/>
    <cellWatch r="G21544"/>
    <cellWatch r="G21545"/>
    <cellWatch r="G21546"/>
    <cellWatch r="G21547"/>
    <cellWatch r="G21548"/>
    <cellWatch r="G21549"/>
    <cellWatch r="G21550"/>
    <cellWatch r="G21551"/>
    <cellWatch r="G21552"/>
    <cellWatch r="G21553"/>
    <cellWatch r="G21554"/>
    <cellWatch r="G21555"/>
    <cellWatch r="G21556"/>
    <cellWatch r="G21557"/>
    <cellWatch r="G21558"/>
    <cellWatch r="G21559"/>
    <cellWatch r="G21560"/>
    <cellWatch r="G21561"/>
    <cellWatch r="G21562"/>
    <cellWatch r="G21563"/>
    <cellWatch r="G21564"/>
    <cellWatch r="G21565"/>
    <cellWatch r="G21566"/>
    <cellWatch r="G21567"/>
    <cellWatch r="G21568"/>
    <cellWatch r="G21569"/>
    <cellWatch r="G21570"/>
    <cellWatch r="G21571"/>
    <cellWatch r="G21572"/>
    <cellWatch r="G21573"/>
    <cellWatch r="G21574"/>
    <cellWatch r="G21575"/>
    <cellWatch r="G21576"/>
    <cellWatch r="G21577"/>
    <cellWatch r="G21578"/>
    <cellWatch r="G21579"/>
    <cellWatch r="G21580"/>
    <cellWatch r="G21581"/>
    <cellWatch r="G21582"/>
    <cellWatch r="G21583"/>
    <cellWatch r="G21584"/>
    <cellWatch r="G21585"/>
    <cellWatch r="G21586"/>
    <cellWatch r="G21587"/>
    <cellWatch r="G21588"/>
    <cellWatch r="G21589"/>
    <cellWatch r="G21590"/>
    <cellWatch r="G21591"/>
    <cellWatch r="G21592"/>
    <cellWatch r="G21593"/>
    <cellWatch r="G21594"/>
    <cellWatch r="G21595"/>
    <cellWatch r="G21596"/>
    <cellWatch r="G21597"/>
    <cellWatch r="G21598"/>
    <cellWatch r="G21599"/>
    <cellWatch r="G21600"/>
    <cellWatch r="G21601"/>
    <cellWatch r="G21602"/>
    <cellWatch r="G21603"/>
    <cellWatch r="G21604"/>
    <cellWatch r="G21605"/>
    <cellWatch r="G21606"/>
    <cellWatch r="G21607"/>
    <cellWatch r="G21608"/>
    <cellWatch r="G21609"/>
    <cellWatch r="G21610"/>
    <cellWatch r="G21611"/>
    <cellWatch r="G21612"/>
    <cellWatch r="G21613"/>
    <cellWatch r="G21614"/>
    <cellWatch r="G21615"/>
    <cellWatch r="G21616"/>
    <cellWatch r="G21617"/>
    <cellWatch r="G21618"/>
    <cellWatch r="G21619"/>
    <cellWatch r="G21620"/>
    <cellWatch r="G21621"/>
    <cellWatch r="G21622"/>
    <cellWatch r="G21623"/>
    <cellWatch r="G21624"/>
    <cellWatch r="G21625"/>
    <cellWatch r="G21626"/>
    <cellWatch r="G21627"/>
    <cellWatch r="G21628"/>
    <cellWatch r="G21629"/>
    <cellWatch r="G21630"/>
    <cellWatch r="G21631"/>
    <cellWatch r="G21632"/>
    <cellWatch r="G21633"/>
    <cellWatch r="G21634"/>
    <cellWatch r="G21635"/>
    <cellWatch r="G21636"/>
    <cellWatch r="G21637"/>
    <cellWatch r="G21638"/>
    <cellWatch r="G21639"/>
    <cellWatch r="G21640"/>
    <cellWatch r="G21641"/>
    <cellWatch r="G21642"/>
    <cellWatch r="G21643"/>
    <cellWatch r="G21644"/>
    <cellWatch r="G21645"/>
    <cellWatch r="G21646"/>
    <cellWatch r="G21647"/>
    <cellWatch r="G21648"/>
    <cellWatch r="G21649"/>
    <cellWatch r="G21650"/>
    <cellWatch r="G21651"/>
    <cellWatch r="G21652"/>
    <cellWatch r="G21653"/>
    <cellWatch r="G21654"/>
    <cellWatch r="G21655"/>
    <cellWatch r="G21656"/>
    <cellWatch r="G21657"/>
    <cellWatch r="G21658"/>
    <cellWatch r="G21659"/>
    <cellWatch r="G21660"/>
    <cellWatch r="G21661"/>
    <cellWatch r="G21662"/>
    <cellWatch r="G21663"/>
    <cellWatch r="G21664"/>
    <cellWatch r="G21665"/>
    <cellWatch r="G21666"/>
    <cellWatch r="G21667"/>
    <cellWatch r="G21668"/>
    <cellWatch r="G21669"/>
    <cellWatch r="G21670"/>
    <cellWatch r="G21671"/>
    <cellWatch r="G21672"/>
    <cellWatch r="G21673"/>
    <cellWatch r="G21674"/>
    <cellWatch r="G21675"/>
    <cellWatch r="G21676"/>
    <cellWatch r="G21677"/>
    <cellWatch r="G21678"/>
    <cellWatch r="G21679"/>
    <cellWatch r="G21680"/>
    <cellWatch r="G21681"/>
    <cellWatch r="G21682"/>
    <cellWatch r="G21683"/>
    <cellWatch r="G21684"/>
    <cellWatch r="G21685"/>
    <cellWatch r="G21686"/>
    <cellWatch r="G21687"/>
    <cellWatch r="G21688"/>
    <cellWatch r="G21689"/>
    <cellWatch r="G21690"/>
    <cellWatch r="G21691"/>
    <cellWatch r="G21692"/>
    <cellWatch r="G21693"/>
    <cellWatch r="G21694"/>
    <cellWatch r="G21695"/>
    <cellWatch r="G21696"/>
    <cellWatch r="G21697"/>
    <cellWatch r="G21698"/>
    <cellWatch r="G21699"/>
    <cellWatch r="G21700"/>
    <cellWatch r="G21701"/>
    <cellWatch r="G21702"/>
    <cellWatch r="G21703"/>
    <cellWatch r="G21704"/>
    <cellWatch r="G21705"/>
    <cellWatch r="G21706"/>
    <cellWatch r="G21707"/>
    <cellWatch r="G21708"/>
    <cellWatch r="G21709"/>
    <cellWatch r="G21710"/>
    <cellWatch r="G21711"/>
    <cellWatch r="G21712"/>
    <cellWatch r="G21713"/>
    <cellWatch r="G21714"/>
    <cellWatch r="G21715"/>
    <cellWatch r="G21716"/>
    <cellWatch r="G21717"/>
    <cellWatch r="G21718"/>
    <cellWatch r="G21719"/>
    <cellWatch r="G21720"/>
    <cellWatch r="G21721"/>
    <cellWatch r="G21722"/>
    <cellWatch r="G21723"/>
    <cellWatch r="G21724"/>
    <cellWatch r="G21725"/>
    <cellWatch r="G21726"/>
    <cellWatch r="G21727"/>
    <cellWatch r="G21728"/>
    <cellWatch r="G21729"/>
    <cellWatch r="G21730"/>
    <cellWatch r="G21731"/>
    <cellWatch r="G21732"/>
    <cellWatch r="G21733"/>
    <cellWatch r="G21734"/>
    <cellWatch r="G21735"/>
    <cellWatch r="G21736"/>
    <cellWatch r="G21737"/>
    <cellWatch r="G21738"/>
    <cellWatch r="G21739"/>
    <cellWatch r="G21740"/>
    <cellWatch r="G21741"/>
    <cellWatch r="G21742"/>
    <cellWatch r="G21743"/>
    <cellWatch r="G21744"/>
    <cellWatch r="G21745"/>
    <cellWatch r="G21746"/>
    <cellWatch r="G21747"/>
    <cellWatch r="G21748"/>
    <cellWatch r="G21749"/>
    <cellWatch r="G21750"/>
    <cellWatch r="G21751"/>
    <cellWatch r="G21752"/>
    <cellWatch r="G21753"/>
    <cellWatch r="G21754"/>
    <cellWatch r="G21755"/>
    <cellWatch r="G21756"/>
    <cellWatch r="G21757"/>
    <cellWatch r="G21758"/>
    <cellWatch r="G21759"/>
    <cellWatch r="G21760"/>
    <cellWatch r="G21761"/>
    <cellWatch r="G21762"/>
    <cellWatch r="G21763"/>
    <cellWatch r="G21764"/>
    <cellWatch r="G21765"/>
    <cellWatch r="G21766"/>
    <cellWatch r="G21767"/>
    <cellWatch r="G21768"/>
    <cellWatch r="G21769"/>
    <cellWatch r="G21770"/>
    <cellWatch r="G21771"/>
    <cellWatch r="G21772"/>
    <cellWatch r="G21773"/>
    <cellWatch r="G21774"/>
    <cellWatch r="G21775"/>
    <cellWatch r="G21776"/>
    <cellWatch r="G21777"/>
    <cellWatch r="G21778"/>
    <cellWatch r="G21779"/>
    <cellWatch r="G21780"/>
    <cellWatch r="G21781"/>
    <cellWatch r="G21782"/>
    <cellWatch r="G21783"/>
    <cellWatch r="G21784"/>
    <cellWatch r="G21785"/>
    <cellWatch r="G21786"/>
    <cellWatch r="G21787"/>
    <cellWatch r="G21788"/>
    <cellWatch r="G21789"/>
    <cellWatch r="G21790"/>
    <cellWatch r="G21791"/>
    <cellWatch r="G21792"/>
    <cellWatch r="G21793"/>
    <cellWatch r="G21794"/>
    <cellWatch r="G21795"/>
    <cellWatch r="G21796"/>
    <cellWatch r="G21797"/>
    <cellWatch r="G21798"/>
    <cellWatch r="G21799"/>
    <cellWatch r="G21800"/>
    <cellWatch r="G21801"/>
    <cellWatch r="G21802"/>
    <cellWatch r="G21803"/>
    <cellWatch r="G21804"/>
    <cellWatch r="G21805"/>
    <cellWatch r="G21806"/>
    <cellWatch r="G21807"/>
    <cellWatch r="G21808"/>
    <cellWatch r="G21809"/>
    <cellWatch r="G21810"/>
    <cellWatch r="G21811"/>
    <cellWatch r="G21812"/>
    <cellWatch r="G21813"/>
    <cellWatch r="G21814"/>
    <cellWatch r="G21815"/>
    <cellWatch r="G21816"/>
    <cellWatch r="G21817"/>
    <cellWatch r="G21818"/>
    <cellWatch r="G21819"/>
    <cellWatch r="G21820"/>
    <cellWatch r="G21821"/>
    <cellWatch r="G21822"/>
    <cellWatch r="G21823"/>
    <cellWatch r="G21824"/>
    <cellWatch r="G21825"/>
    <cellWatch r="G21826"/>
    <cellWatch r="G21827"/>
    <cellWatch r="G21828"/>
    <cellWatch r="G21829"/>
    <cellWatch r="G21830"/>
    <cellWatch r="G21831"/>
    <cellWatch r="G21832"/>
    <cellWatch r="G21833"/>
    <cellWatch r="G21834"/>
    <cellWatch r="G21835"/>
    <cellWatch r="G21836"/>
    <cellWatch r="G21837"/>
    <cellWatch r="G21838"/>
    <cellWatch r="G21839"/>
    <cellWatch r="G21840"/>
    <cellWatch r="G21841"/>
    <cellWatch r="G21842"/>
    <cellWatch r="G21843"/>
    <cellWatch r="G21844"/>
    <cellWatch r="G21845"/>
    <cellWatch r="G21846"/>
    <cellWatch r="G21847"/>
    <cellWatch r="G21848"/>
    <cellWatch r="G21849"/>
    <cellWatch r="G21850"/>
    <cellWatch r="G21851"/>
    <cellWatch r="G21852"/>
    <cellWatch r="G21853"/>
    <cellWatch r="G21854"/>
    <cellWatch r="G21855"/>
    <cellWatch r="G21856"/>
    <cellWatch r="G21857"/>
    <cellWatch r="G21858"/>
    <cellWatch r="G21859"/>
    <cellWatch r="G21860"/>
    <cellWatch r="G21861"/>
    <cellWatch r="G21862"/>
    <cellWatch r="G21863"/>
    <cellWatch r="G21864"/>
    <cellWatch r="G21865"/>
    <cellWatch r="G21866"/>
    <cellWatch r="G21867"/>
    <cellWatch r="G21868"/>
    <cellWatch r="G21869"/>
    <cellWatch r="G21870"/>
    <cellWatch r="G21871"/>
    <cellWatch r="G21872"/>
    <cellWatch r="G21873"/>
    <cellWatch r="G21874"/>
    <cellWatch r="G21875"/>
    <cellWatch r="G21876"/>
    <cellWatch r="G21877"/>
    <cellWatch r="G21878"/>
    <cellWatch r="G21879"/>
    <cellWatch r="G21880"/>
    <cellWatch r="G21881"/>
    <cellWatch r="G21882"/>
    <cellWatch r="G21883"/>
    <cellWatch r="G21884"/>
    <cellWatch r="G21885"/>
    <cellWatch r="G21886"/>
    <cellWatch r="G21887"/>
    <cellWatch r="G21888"/>
    <cellWatch r="G21889"/>
    <cellWatch r="G21890"/>
    <cellWatch r="G21891"/>
    <cellWatch r="G21892"/>
    <cellWatch r="G21893"/>
    <cellWatch r="G21894"/>
    <cellWatch r="G21895"/>
    <cellWatch r="G21896"/>
    <cellWatch r="G21897"/>
    <cellWatch r="G21898"/>
    <cellWatch r="G21899"/>
    <cellWatch r="G21900"/>
    <cellWatch r="G21901"/>
    <cellWatch r="G21902"/>
    <cellWatch r="G21903"/>
    <cellWatch r="G21904"/>
    <cellWatch r="G21905"/>
    <cellWatch r="G21906"/>
    <cellWatch r="G21907"/>
    <cellWatch r="G21908"/>
    <cellWatch r="G21909"/>
    <cellWatch r="G21910"/>
    <cellWatch r="G21911"/>
    <cellWatch r="G21912"/>
    <cellWatch r="G21913"/>
    <cellWatch r="G21914"/>
    <cellWatch r="G21915"/>
    <cellWatch r="G21916"/>
    <cellWatch r="G21917"/>
    <cellWatch r="G21918"/>
    <cellWatch r="G21919"/>
    <cellWatch r="G21920"/>
    <cellWatch r="G21921"/>
    <cellWatch r="G21922"/>
    <cellWatch r="G21923"/>
    <cellWatch r="G21924"/>
    <cellWatch r="G21925"/>
    <cellWatch r="G21926"/>
    <cellWatch r="G21927"/>
    <cellWatch r="G21928"/>
    <cellWatch r="G21929"/>
    <cellWatch r="G21930"/>
    <cellWatch r="G21931"/>
    <cellWatch r="G21932"/>
    <cellWatch r="G21933"/>
    <cellWatch r="G21934"/>
    <cellWatch r="G21935"/>
    <cellWatch r="G21936"/>
    <cellWatch r="G21937"/>
    <cellWatch r="G21938"/>
    <cellWatch r="G21939"/>
    <cellWatch r="G21940"/>
    <cellWatch r="G21941"/>
    <cellWatch r="G21942"/>
    <cellWatch r="G21943"/>
    <cellWatch r="G21944"/>
    <cellWatch r="G21945"/>
    <cellWatch r="G21946"/>
    <cellWatch r="G21947"/>
    <cellWatch r="G21948"/>
    <cellWatch r="G21949"/>
    <cellWatch r="G21950"/>
    <cellWatch r="G21951"/>
    <cellWatch r="G21952"/>
    <cellWatch r="G21953"/>
    <cellWatch r="G21954"/>
    <cellWatch r="G21955"/>
    <cellWatch r="G21956"/>
    <cellWatch r="G21957"/>
    <cellWatch r="G21958"/>
    <cellWatch r="G21959"/>
    <cellWatch r="G21960"/>
    <cellWatch r="G21961"/>
    <cellWatch r="G21962"/>
    <cellWatch r="G21963"/>
    <cellWatch r="G21964"/>
    <cellWatch r="G21965"/>
    <cellWatch r="G21966"/>
    <cellWatch r="G21967"/>
    <cellWatch r="G21968"/>
    <cellWatch r="G21969"/>
    <cellWatch r="G21970"/>
    <cellWatch r="G21971"/>
    <cellWatch r="G21972"/>
    <cellWatch r="G21973"/>
    <cellWatch r="G21974"/>
    <cellWatch r="G21975"/>
    <cellWatch r="G21976"/>
    <cellWatch r="G21977"/>
    <cellWatch r="G21978"/>
    <cellWatch r="G21979"/>
    <cellWatch r="G21980"/>
    <cellWatch r="G21981"/>
    <cellWatch r="G21982"/>
    <cellWatch r="G21983"/>
    <cellWatch r="G21984"/>
    <cellWatch r="G21985"/>
    <cellWatch r="G21986"/>
    <cellWatch r="G21987"/>
    <cellWatch r="G21988"/>
    <cellWatch r="G21989"/>
    <cellWatch r="G21990"/>
    <cellWatch r="G21991"/>
    <cellWatch r="G21992"/>
    <cellWatch r="G21993"/>
    <cellWatch r="G21994"/>
    <cellWatch r="G21995"/>
    <cellWatch r="G21996"/>
    <cellWatch r="G21997"/>
    <cellWatch r="G21998"/>
    <cellWatch r="G21999"/>
    <cellWatch r="G22000"/>
    <cellWatch r="G22001"/>
    <cellWatch r="G22002"/>
    <cellWatch r="G22003"/>
    <cellWatch r="G22004"/>
    <cellWatch r="G22005"/>
    <cellWatch r="G22006"/>
    <cellWatch r="G22007"/>
    <cellWatch r="G22008"/>
    <cellWatch r="G22009"/>
    <cellWatch r="G22010"/>
    <cellWatch r="G22011"/>
    <cellWatch r="G22012"/>
    <cellWatch r="G22013"/>
    <cellWatch r="G22014"/>
    <cellWatch r="G22015"/>
    <cellWatch r="G22016"/>
    <cellWatch r="G22017"/>
    <cellWatch r="G22018"/>
    <cellWatch r="G22019"/>
    <cellWatch r="G22020"/>
    <cellWatch r="G22021"/>
    <cellWatch r="G22022"/>
    <cellWatch r="G22023"/>
    <cellWatch r="G22024"/>
    <cellWatch r="G22025"/>
    <cellWatch r="G22026"/>
    <cellWatch r="G22027"/>
    <cellWatch r="G22028"/>
    <cellWatch r="G22029"/>
    <cellWatch r="G22030"/>
    <cellWatch r="G22031"/>
    <cellWatch r="G22032"/>
    <cellWatch r="G22033"/>
    <cellWatch r="G22034"/>
    <cellWatch r="G22035"/>
    <cellWatch r="G22036"/>
    <cellWatch r="G22037"/>
    <cellWatch r="G22038"/>
    <cellWatch r="G22039"/>
    <cellWatch r="G22040"/>
    <cellWatch r="G22041"/>
    <cellWatch r="G22042"/>
    <cellWatch r="G22043"/>
    <cellWatch r="G22044"/>
    <cellWatch r="G22045"/>
    <cellWatch r="G22046"/>
    <cellWatch r="G22047"/>
    <cellWatch r="G22048"/>
    <cellWatch r="G22049"/>
    <cellWatch r="G22050"/>
    <cellWatch r="G22051"/>
    <cellWatch r="G22052"/>
    <cellWatch r="G22053"/>
    <cellWatch r="G22054"/>
    <cellWatch r="G22055"/>
    <cellWatch r="G22056"/>
    <cellWatch r="G22057"/>
    <cellWatch r="G22058"/>
    <cellWatch r="G22059"/>
    <cellWatch r="G22060"/>
    <cellWatch r="G22061"/>
    <cellWatch r="G22062"/>
    <cellWatch r="G22063"/>
    <cellWatch r="G22064"/>
    <cellWatch r="G22065"/>
    <cellWatch r="G22066"/>
    <cellWatch r="G22067"/>
    <cellWatch r="G22068"/>
    <cellWatch r="G22069"/>
    <cellWatch r="G22070"/>
    <cellWatch r="G22071"/>
    <cellWatch r="G22072"/>
    <cellWatch r="G22073"/>
    <cellWatch r="G22074"/>
    <cellWatch r="G22075"/>
    <cellWatch r="G22076"/>
    <cellWatch r="G22077"/>
    <cellWatch r="G22078"/>
    <cellWatch r="G22079"/>
    <cellWatch r="G22080"/>
    <cellWatch r="G22081"/>
    <cellWatch r="G22082"/>
    <cellWatch r="G22083"/>
    <cellWatch r="G22084"/>
    <cellWatch r="G22085"/>
    <cellWatch r="G22086"/>
    <cellWatch r="G22087"/>
    <cellWatch r="G22088"/>
    <cellWatch r="G22089"/>
    <cellWatch r="G22090"/>
    <cellWatch r="G22091"/>
    <cellWatch r="G22092"/>
    <cellWatch r="G22093"/>
    <cellWatch r="G22094"/>
    <cellWatch r="G22095"/>
    <cellWatch r="G22096"/>
    <cellWatch r="G22097"/>
    <cellWatch r="G22098"/>
    <cellWatch r="G22099"/>
    <cellWatch r="G22100"/>
    <cellWatch r="G22101"/>
    <cellWatch r="G22102"/>
    <cellWatch r="G22103"/>
    <cellWatch r="G22104"/>
    <cellWatch r="G22105"/>
    <cellWatch r="G22106"/>
    <cellWatch r="G22107"/>
    <cellWatch r="G22108"/>
    <cellWatch r="G22109"/>
    <cellWatch r="G22110"/>
    <cellWatch r="G22111"/>
    <cellWatch r="G22112"/>
    <cellWatch r="G22113"/>
    <cellWatch r="G22114"/>
    <cellWatch r="G22115"/>
    <cellWatch r="G22116"/>
    <cellWatch r="G22117"/>
    <cellWatch r="G22118"/>
    <cellWatch r="G22119"/>
    <cellWatch r="G22120"/>
    <cellWatch r="G22121"/>
    <cellWatch r="G22122"/>
    <cellWatch r="G22123"/>
    <cellWatch r="G22124"/>
    <cellWatch r="G22125"/>
    <cellWatch r="G22126"/>
    <cellWatch r="G22127"/>
    <cellWatch r="G22128"/>
    <cellWatch r="G22129"/>
    <cellWatch r="G22130"/>
    <cellWatch r="G22131"/>
    <cellWatch r="G22132"/>
    <cellWatch r="G22133"/>
    <cellWatch r="G22134"/>
    <cellWatch r="G22135"/>
    <cellWatch r="G22136"/>
    <cellWatch r="G22137"/>
    <cellWatch r="G22138"/>
    <cellWatch r="G22139"/>
    <cellWatch r="G22140"/>
    <cellWatch r="G22141"/>
    <cellWatch r="G22142"/>
    <cellWatch r="G22143"/>
    <cellWatch r="G22144"/>
    <cellWatch r="G22145"/>
    <cellWatch r="G22146"/>
    <cellWatch r="G22147"/>
    <cellWatch r="G22148"/>
    <cellWatch r="G22149"/>
    <cellWatch r="G22150"/>
    <cellWatch r="G22151"/>
    <cellWatch r="G22152"/>
    <cellWatch r="G22153"/>
    <cellWatch r="G22154"/>
    <cellWatch r="G22155"/>
    <cellWatch r="G22156"/>
    <cellWatch r="G22157"/>
    <cellWatch r="G22158"/>
    <cellWatch r="G22159"/>
    <cellWatch r="G22160"/>
    <cellWatch r="G22161"/>
    <cellWatch r="G22162"/>
    <cellWatch r="G22163"/>
    <cellWatch r="G22164"/>
    <cellWatch r="G22165"/>
    <cellWatch r="G22166"/>
    <cellWatch r="G22167"/>
    <cellWatch r="G22168"/>
    <cellWatch r="G22169"/>
    <cellWatch r="G22170"/>
    <cellWatch r="G22171"/>
    <cellWatch r="G22172"/>
    <cellWatch r="G22173"/>
    <cellWatch r="G22174"/>
    <cellWatch r="G22175"/>
    <cellWatch r="G22176"/>
    <cellWatch r="G22177"/>
    <cellWatch r="G22178"/>
    <cellWatch r="G22179"/>
    <cellWatch r="G22180"/>
    <cellWatch r="G22181"/>
    <cellWatch r="G22182"/>
    <cellWatch r="G22183"/>
    <cellWatch r="G22184"/>
    <cellWatch r="G22185"/>
    <cellWatch r="G22186"/>
    <cellWatch r="G22187"/>
    <cellWatch r="G22188"/>
    <cellWatch r="G22189"/>
    <cellWatch r="G22190"/>
    <cellWatch r="G22191"/>
    <cellWatch r="G22192"/>
    <cellWatch r="G22193"/>
    <cellWatch r="G22194"/>
    <cellWatch r="G22195"/>
    <cellWatch r="G22196"/>
    <cellWatch r="G22197"/>
    <cellWatch r="G22198"/>
    <cellWatch r="G22199"/>
    <cellWatch r="G22200"/>
    <cellWatch r="G22201"/>
    <cellWatch r="G22202"/>
    <cellWatch r="G22203"/>
    <cellWatch r="G22204"/>
    <cellWatch r="G22205"/>
    <cellWatch r="G22206"/>
    <cellWatch r="G22207"/>
    <cellWatch r="G22208"/>
    <cellWatch r="G22209"/>
    <cellWatch r="G22210"/>
    <cellWatch r="G22211"/>
    <cellWatch r="G22212"/>
    <cellWatch r="G22213"/>
    <cellWatch r="G22214"/>
    <cellWatch r="G22215"/>
    <cellWatch r="G22216"/>
    <cellWatch r="G22217"/>
    <cellWatch r="G22218"/>
    <cellWatch r="G22219"/>
    <cellWatch r="G22220"/>
    <cellWatch r="G22221"/>
    <cellWatch r="G22222"/>
    <cellWatch r="G22223"/>
    <cellWatch r="G22224"/>
    <cellWatch r="G22225"/>
    <cellWatch r="G22226"/>
    <cellWatch r="G22227"/>
    <cellWatch r="G22228"/>
    <cellWatch r="G22229"/>
    <cellWatch r="G22230"/>
    <cellWatch r="G22231"/>
    <cellWatch r="G22232"/>
    <cellWatch r="G22233"/>
    <cellWatch r="G22234"/>
    <cellWatch r="G22235"/>
    <cellWatch r="G22236"/>
    <cellWatch r="G22237"/>
    <cellWatch r="G22238"/>
    <cellWatch r="G22239"/>
    <cellWatch r="G22240"/>
    <cellWatch r="G22241"/>
    <cellWatch r="G22242"/>
    <cellWatch r="G22243"/>
    <cellWatch r="G22244"/>
    <cellWatch r="G22245"/>
    <cellWatch r="G22246"/>
    <cellWatch r="G22247"/>
    <cellWatch r="G22248"/>
    <cellWatch r="G22249"/>
    <cellWatch r="G22250"/>
    <cellWatch r="G22251"/>
    <cellWatch r="G22252"/>
    <cellWatch r="G22253"/>
    <cellWatch r="G22254"/>
    <cellWatch r="G22255"/>
    <cellWatch r="G22256"/>
    <cellWatch r="G22257"/>
    <cellWatch r="G22258"/>
    <cellWatch r="G22259"/>
    <cellWatch r="G22260"/>
    <cellWatch r="G22261"/>
    <cellWatch r="G22262"/>
    <cellWatch r="G22263"/>
    <cellWatch r="G22264"/>
    <cellWatch r="G22265"/>
    <cellWatch r="G22266"/>
    <cellWatch r="G22267"/>
    <cellWatch r="G22268"/>
    <cellWatch r="G22269"/>
    <cellWatch r="G22270"/>
    <cellWatch r="G22271"/>
    <cellWatch r="G22272"/>
    <cellWatch r="G22273"/>
    <cellWatch r="G22274"/>
    <cellWatch r="G22275"/>
    <cellWatch r="G22276"/>
    <cellWatch r="G22277"/>
    <cellWatch r="G22278"/>
    <cellWatch r="G22279"/>
    <cellWatch r="G22280"/>
    <cellWatch r="G22281"/>
    <cellWatch r="G22282"/>
    <cellWatch r="G22283"/>
    <cellWatch r="G22284"/>
    <cellWatch r="G22285"/>
    <cellWatch r="G22286"/>
    <cellWatch r="G22287"/>
    <cellWatch r="G22288"/>
    <cellWatch r="G22289"/>
    <cellWatch r="G22290"/>
    <cellWatch r="G22291"/>
    <cellWatch r="G22292"/>
    <cellWatch r="G22293"/>
    <cellWatch r="G22294"/>
    <cellWatch r="G22295"/>
    <cellWatch r="G22296"/>
    <cellWatch r="G22297"/>
    <cellWatch r="G22298"/>
    <cellWatch r="G22299"/>
    <cellWatch r="G22300"/>
    <cellWatch r="G22301"/>
    <cellWatch r="G22302"/>
    <cellWatch r="G22303"/>
    <cellWatch r="G22304"/>
    <cellWatch r="G22305"/>
    <cellWatch r="G22306"/>
    <cellWatch r="G22307"/>
    <cellWatch r="G22308"/>
    <cellWatch r="G22309"/>
    <cellWatch r="G22310"/>
    <cellWatch r="G22311"/>
    <cellWatch r="G22312"/>
    <cellWatch r="G22313"/>
    <cellWatch r="G22314"/>
    <cellWatch r="G22315"/>
    <cellWatch r="G22316"/>
    <cellWatch r="G22317"/>
    <cellWatch r="G22318"/>
    <cellWatch r="G22319"/>
    <cellWatch r="G22320"/>
    <cellWatch r="G22321"/>
    <cellWatch r="G22322"/>
    <cellWatch r="G22323"/>
    <cellWatch r="G22324"/>
    <cellWatch r="G22325"/>
    <cellWatch r="G22326"/>
    <cellWatch r="G22327"/>
    <cellWatch r="G22328"/>
    <cellWatch r="G22329"/>
    <cellWatch r="G22330"/>
    <cellWatch r="G22331"/>
    <cellWatch r="G22332"/>
    <cellWatch r="G22333"/>
    <cellWatch r="G22334"/>
    <cellWatch r="G22335"/>
    <cellWatch r="G22336"/>
    <cellWatch r="G22337"/>
    <cellWatch r="G22338"/>
    <cellWatch r="G22339"/>
    <cellWatch r="G22340"/>
    <cellWatch r="G22341"/>
    <cellWatch r="G22342"/>
    <cellWatch r="G22343"/>
    <cellWatch r="G22344"/>
    <cellWatch r="G22345"/>
    <cellWatch r="G22346"/>
    <cellWatch r="G22347"/>
    <cellWatch r="G22348"/>
    <cellWatch r="G22349"/>
    <cellWatch r="G22350"/>
    <cellWatch r="G22351"/>
    <cellWatch r="G22352"/>
    <cellWatch r="G22353"/>
    <cellWatch r="G22354"/>
    <cellWatch r="G22355"/>
    <cellWatch r="G22356"/>
    <cellWatch r="G22357"/>
    <cellWatch r="G22358"/>
    <cellWatch r="G22359"/>
    <cellWatch r="G22360"/>
    <cellWatch r="G22361"/>
    <cellWatch r="G22362"/>
    <cellWatch r="G22363"/>
    <cellWatch r="G22364"/>
    <cellWatch r="G22365"/>
    <cellWatch r="G22366"/>
    <cellWatch r="G22367"/>
    <cellWatch r="G22368"/>
    <cellWatch r="G22369"/>
    <cellWatch r="G22370"/>
    <cellWatch r="G22371"/>
    <cellWatch r="G22372"/>
    <cellWatch r="G22373"/>
    <cellWatch r="G22374"/>
    <cellWatch r="G22375"/>
    <cellWatch r="G22376"/>
    <cellWatch r="G22377"/>
    <cellWatch r="G22378"/>
    <cellWatch r="G22379"/>
    <cellWatch r="G22380"/>
    <cellWatch r="G22381"/>
    <cellWatch r="G22382"/>
    <cellWatch r="G22383"/>
    <cellWatch r="G22384"/>
    <cellWatch r="G22385"/>
    <cellWatch r="G22386"/>
    <cellWatch r="G22387"/>
    <cellWatch r="G22388"/>
    <cellWatch r="G22389"/>
    <cellWatch r="G22390"/>
    <cellWatch r="G22391"/>
    <cellWatch r="G22392"/>
    <cellWatch r="G22393"/>
    <cellWatch r="G22394"/>
    <cellWatch r="G22395"/>
    <cellWatch r="G22396"/>
    <cellWatch r="G22397"/>
    <cellWatch r="G22398"/>
    <cellWatch r="G22399"/>
    <cellWatch r="G22400"/>
    <cellWatch r="G22401"/>
    <cellWatch r="G22402"/>
    <cellWatch r="G22403"/>
    <cellWatch r="G22404"/>
    <cellWatch r="G22405"/>
    <cellWatch r="G22406"/>
    <cellWatch r="G22407"/>
    <cellWatch r="G22408"/>
    <cellWatch r="G22409"/>
    <cellWatch r="G22410"/>
    <cellWatch r="G22411"/>
    <cellWatch r="G22412"/>
    <cellWatch r="G22413"/>
    <cellWatch r="G22414"/>
    <cellWatch r="G22415"/>
    <cellWatch r="G22416"/>
    <cellWatch r="G22417"/>
    <cellWatch r="G22418"/>
    <cellWatch r="G22419"/>
    <cellWatch r="G22420"/>
    <cellWatch r="G22421"/>
    <cellWatch r="G22422"/>
    <cellWatch r="G22423"/>
    <cellWatch r="G22424"/>
    <cellWatch r="G22425"/>
    <cellWatch r="G22426"/>
    <cellWatch r="G22427"/>
    <cellWatch r="G22428"/>
    <cellWatch r="G22429"/>
    <cellWatch r="G22430"/>
    <cellWatch r="G22431"/>
    <cellWatch r="G22432"/>
    <cellWatch r="G22433"/>
    <cellWatch r="G22434"/>
    <cellWatch r="G22435"/>
    <cellWatch r="G22436"/>
    <cellWatch r="G22437"/>
    <cellWatch r="G22438"/>
    <cellWatch r="G22439"/>
    <cellWatch r="G22440"/>
    <cellWatch r="G22441"/>
    <cellWatch r="G22442"/>
    <cellWatch r="G22443"/>
    <cellWatch r="G22444"/>
    <cellWatch r="G22445"/>
    <cellWatch r="G22446"/>
    <cellWatch r="G22447"/>
    <cellWatch r="G22448"/>
    <cellWatch r="G22449"/>
    <cellWatch r="G22450"/>
    <cellWatch r="G22451"/>
    <cellWatch r="G22452"/>
    <cellWatch r="G22453"/>
    <cellWatch r="G22454"/>
    <cellWatch r="G22455"/>
    <cellWatch r="G22456"/>
    <cellWatch r="G22457"/>
    <cellWatch r="G22458"/>
    <cellWatch r="G22459"/>
    <cellWatch r="G22460"/>
    <cellWatch r="G22461"/>
    <cellWatch r="G22462"/>
    <cellWatch r="G22463"/>
    <cellWatch r="G22464"/>
    <cellWatch r="G22465"/>
    <cellWatch r="G22466"/>
    <cellWatch r="G22467"/>
    <cellWatch r="G22468"/>
    <cellWatch r="G22469"/>
    <cellWatch r="G22470"/>
    <cellWatch r="G22471"/>
    <cellWatch r="G22472"/>
    <cellWatch r="G22473"/>
    <cellWatch r="G22474"/>
    <cellWatch r="G22475"/>
    <cellWatch r="G22476"/>
    <cellWatch r="G22477"/>
    <cellWatch r="G22478"/>
    <cellWatch r="G22479"/>
    <cellWatch r="G22480"/>
    <cellWatch r="G22481"/>
    <cellWatch r="G22482"/>
    <cellWatch r="G22483"/>
    <cellWatch r="G22484"/>
    <cellWatch r="G22485"/>
    <cellWatch r="G22486"/>
    <cellWatch r="G22487"/>
    <cellWatch r="G22488"/>
    <cellWatch r="G22489"/>
    <cellWatch r="G22490"/>
    <cellWatch r="G22491"/>
    <cellWatch r="G22492"/>
    <cellWatch r="G22493"/>
    <cellWatch r="G22494"/>
    <cellWatch r="G22495"/>
    <cellWatch r="G22496"/>
    <cellWatch r="G22497"/>
    <cellWatch r="G22498"/>
    <cellWatch r="G22499"/>
    <cellWatch r="G22500"/>
    <cellWatch r="G22501"/>
    <cellWatch r="G22502"/>
    <cellWatch r="G22503"/>
    <cellWatch r="G22504"/>
    <cellWatch r="G22505"/>
    <cellWatch r="G22506"/>
    <cellWatch r="G22507"/>
    <cellWatch r="G22508"/>
    <cellWatch r="G22509"/>
    <cellWatch r="G22510"/>
    <cellWatch r="G22511"/>
    <cellWatch r="G22512"/>
    <cellWatch r="G22513"/>
    <cellWatch r="G22514"/>
    <cellWatch r="G22515"/>
    <cellWatch r="G22516"/>
    <cellWatch r="G22517"/>
    <cellWatch r="G22518"/>
    <cellWatch r="G22519"/>
    <cellWatch r="G22520"/>
    <cellWatch r="G22521"/>
    <cellWatch r="G22522"/>
    <cellWatch r="G22523"/>
    <cellWatch r="G22524"/>
    <cellWatch r="G22525"/>
    <cellWatch r="G22526"/>
    <cellWatch r="G22527"/>
    <cellWatch r="G22528"/>
    <cellWatch r="G22529"/>
    <cellWatch r="G22530"/>
    <cellWatch r="G22531"/>
    <cellWatch r="G22532"/>
    <cellWatch r="G22533"/>
    <cellWatch r="G22534"/>
    <cellWatch r="G22535"/>
    <cellWatch r="G22536"/>
    <cellWatch r="G22537"/>
    <cellWatch r="G22538"/>
    <cellWatch r="G22539"/>
    <cellWatch r="G22540"/>
    <cellWatch r="G22541"/>
    <cellWatch r="G22542"/>
    <cellWatch r="G22543"/>
    <cellWatch r="G22544"/>
    <cellWatch r="G22545"/>
    <cellWatch r="G22546"/>
    <cellWatch r="G22547"/>
    <cellWatch r="G22548"/>
    <cellWatch r="G22549"/>
    <cellWatch r="G22550"/>
    <cellWatch r="G22551"/>
    <cellWatch r="G22552"/>
    <cellWatch r="G22553"/>
    <cellWatch r="G22554"/>
    <cellWatch r="G22555"/>
    <cellWatch r="G22556"/>
    <cellWatch r="G22557"/>
    <cellWatch r="G22558"/>
    <cellWatch r="G22559"/>
    <cellWatch r="G22560"/>
    <cellWatch r="G22561"/>
    <cellWatch r="G22562"/>
    <cellWatch r="G22563"/>
    <cellWatch r="G22564"/>
    <cellWatch r="G22565"/>
    <cellWatch r="G22566"/>
    <cellWatch r="G22567"/>
    <cellWatch r="G22568"/>
    <cellWatch r="G22569"/>
    <cellWatch r="G22570"/>
    <cellWatch r="G22571"/>
    <cellWatch r="G22572"/>
    <cellWatch r="G22573"/>
    <cellWatch r="G22574"/>
    <cellWatch r="G22575"/>
    <cellWatch r="G22576"/>
    <cellWatch r="G22577"/>
    <cellWatch r="G22578"/>
    <cellWatch r="G22579"/>
    <cellWatch r="G22580"/>
    <cellWatch r="G22581"/>
    <cellWatch r="G22582"/>
    <cellWatch r="G22583"/>
    <cellWatch r="G22584"/>
    <cellWatch r="G22585"/>
    <cellWatch r="G22586"/>
    <cellWatch r="G22587"/>
    <cellWatch r="G22588"/>
    <cellWatch r="G22589"/>
    <cellWatch r="G22590"/>
    <cellWatch r="G22591"/>
    <cellWatch r="G22592"/>
    <cellWatch r="G22593"/>
    <cellWatch r="G22594"/>
    <cellWatch r="G22595"/>
    <cellWatch r="G22596"/>
    <cellWatch r="G22597"/>
    <cellWatch r="G22598"/>
    <cellWatch r="G22599"/>
    <cellWatch r="G22600"/>
    <cellWatch r="G22601"/>
    <cellWatch r="G22602"/>
    <cellWatch r="G22603"/>
    <cellWatch r="G22604"/>
    <cellWatch r="G22605"/>
    <cellWatch r="G22606"/>
    <cellWatch r="G22607"/>
    <cellWatch r="G22608"/>
    <cellWatch r="G22609"/>
    <cellWatch r="G22610"/>
    <cellWatch r="G22611"/>
    <cellWatch r="G22612"/>
    <cellWatch r="G22613"/>
    <cellWatch r="G22614"/>
    <cellWatch r="G22615"/>
    <cellWatch r="G22616"/>
    <cellWatch r="G22617"/>
    <cellWatch r="G22618"/>
    <cellWatch r="G22619"/>
    <cellWatch r="G22620"/>
    <cellWatch r="G22621"/>
    <cellWatch r="G22622"/>
    <cellWatch r="G22623"/>
    <cellWatch r="G22624"/>
    <cellWatch r="G22625"/>
    <cellWatch r="G22626"/>
    <cellWatch r="G22627"/>
    <cellWatch r="G22628"/>
    <cellWatch r="G22629"/>
    <cellWatch r="G22630"/>
    <cellWatch r="G22631"/>
    <cellWatch r="G22632"/>
    <cellWatch r="G22633"/>
    <cellWatch r="G22634"/>
    <cellWatch r="G22635"/>
    <cellWatch r="G22636"/>
    <cellWatch r="G22637"/>
    <cellWatch r="G22638"/>
    <cellWatch r="G22639"/>
    <cellWatch r="G22640"/>
    <cellWatch r="G22641"/>
    <cellWatch r="G22642"/>
    <cellWatch r="G22643"/>
    <cellWatch r="G22644"/>
    <cellWatch r="G22645"/>
    <cellWatch r="G22646"/>
    <cellWatch r="G22647"/>
    <cellWatch r="G22648"/>
    <cellWatch r="G22649"/>
    <cellWatch r="G22650"/>
    <cellWatch r="G22651"/>
    <cellWatch r="G22652"/>
    <cellWatch r="G22653"/>
    <cellWatch r="G22654"/>
    <cellWatch r="G22655"/>
    <cellWatch r="G22656"/>
    <cellWatch r="G22657"/>
    <cellWatch r="G22658"/>
    <cellWatch r="G22659"/>
    <cellWatch r="G22660"/>
    <cellWatch r="G22661"/>
    <cellWatch r="G22662"/>
    <cellWatch r="G22663"/>
    <cellWatch r="G22664"/>
    <cellWatch r="G22665"/>
    <cellWatch r="G22666"/>
    <cellWatch r="G22667"/>
    <cellWatch r="G22668"/>
    <cellWatch r="G22669"/>
    <cellWatch r="G22670"/>
    <cellWatch r="G22671"/>
    <cellWatch r="G22672"/>
    <cellWatch r="G22673"/>
    <cellWatch r="G22674"/>
    <cellWatch r="G22675"/>
    <cellWatch r="G22676"/>
    <cellWatch r="G22677"/>
    <cellWatch r="G22678"/>
    <cellWatch r="G22679"/>
    <cellWatch r="G22680"/>
    <cellWatch r="G22681"/>
    <cellWatch r="G22682"/>
    <cellWatch r="G22683"/>
    <cellWatch r="G22684"/>
    <cellWatch r="G22685"/>
    <cellWatch r="G22686"/>
    <cellWatch r="G22687"/>
    <cellWatch r="G22688"/>
    <cellWatch r="G22689"/>
    <cellWatch r="G22690"/>
    <cellWatch r="G22691"/>
    <cellWatch r="G22692"/>
    <cellWatch r="G22693"/>
    <cellWatch r="G22694"/>
    <cellWatch r="G22695"/>
    <cellWatch r="G22696"/>
    <cellWatch r="G22697"/>
    <cellWatch r="G22698"/>
    <cellWatch r="G22699"/>
    <cellWatch r="G22700"/>
    <cellWatch r="G22701"/>
    <cellWatch r="G22702"/>
    <cellWatch r="G22703"/>
    <cellWatch r="G22704"/>
    <cellWatch r="G22705"/>
    <cellWatch r="G22706"/>
    <cellWatch r="G22707"/>
    <cellWatch r="G22708"/>
    <cellWatch r="G22709"/>
    <cellWatch r="G22710"/>
    <cellWatch r="G22711"/>
    <cellWatch r="G22712"/>
    <cellWatch r="G22713"/>
    <cellWatch r="G22714"/>
    <cellWatch r="G22715"/>
    <cellWatch r="G22716"/>
    <cellWatch r="G22717"/>
    <cellWatch r="G22718"/>
    <cellWatch r="G22719"/>
    <cellWatch r="G22720"/>
    <cellWatch r="G22721"/>
    <cellWatch r="G22722"/>
    <cellWatch r="G22723"/>
    <cellWatch r="G22724"/>
    <cellWatch r="G22725"/>
    <cellWatch r="G22726"/>
    <cellWatch r="G22727"/>
    <cellWatch r="G22728"/>
    <cellWatch r="G22729"/>
    <cellWatch r="G22730"/>
    <cellWatch r="G22731"/>
    <cellWatch r="G22732"/>
    <cellWatch r="G22733"/>
    <cellWatch r="G22734"/>
    <cellWatch r="G22735"/>
    <cellWatch r="G22736"/>
    <cellWatch r="G22737"/>
    <cellWatch r="G22738"/>
    <cellWatch r="G22739"/>
    <cellWatch r="G22740"/>
    <cellWatch r="G22741"/>
    <cellWatch r="G22742"/>
    <cellWatch r="G22743"/>
    <cellWatch r="G22744"/>
    <cellWatch r="G22745"/>
    <cellWatch r="G22746"/>
    <cellWatch r="G22747"/>
    <cellWatch r="G22748"/>
    <cellWatch r="G22749"/>
    <cellWatch r="G22750"/>
    <cellWatch r="G22751"/>
    <cellWatch r="G22752"/>
    <cellWatch r="G22753"/>
    <cellWatch r="G22754"/>
    <cellWatch r="G22755"/>
    <cellWatch r="G22756"/>
    <cellWatch r="G22757"/>
    <cellWatch r="G22758"/>
    <cellWatch r="G22759"/>
    <cellWatch r="G22760"/>
    <cellWatch r="G22761"/>
    <cellWatch r="G22762"/>
    <cellWatch r="G22763"/>
    <cellWatch r="G22764"/>
    <cellWatch r="G22765"/>
    <cellWatch r="G22766"/>
    <cellWatch r="G22767"/>
    <cellWatch r="G22768"/>
    <cellWatch r="G22769"/>
    <cellWatch r="G22770"/>
    <cellWatch r="G22771"/>
    <cellWatch r="G22772"/>
    <cellWatch r="G22773"/>
    <cellWatch r="G22774"/>
    <cellWatch r="G22775"/>
    <cellWatch r="G22776"/>
    <cellWatch r="G22777"/>
    <cellWatch r="G22778"/>
    <cellWatch r="G22779"/>
    <cellWatch r="G22780"/>
    <cellWatch r="G22781"/>
    <cellWatch r="G22782"/>
    <cellWatch r="G22783"/>
    <cellWatch r="G22784"/>
    <cellWatch r="G22785"/>
    <cellWatch r="G22786"/>
    <cellWatch r="G22787"/>
    <cellWatch r="G22788"/>
    <cellWatch r="G22789"/>
    <cellWatch r="G22790"/>
    <cellWatch r="G22791"/>
    <cellWatch r="G22792"/>
    <cellWatch r="G22793"/>
    <cellWatch r="G22794"/>
    <cellWatch r="G22795"/>
    <cellWatch r="G22796"/>
    <cellWatch r="G22797"/>
    <cellWatch r="G22798"/>
    <cellWatch r="G22799"/>
    <cellWatch r="G22800"/>
    <cellWatch r="G22801"/>
    <cellWatch r="G22802"/>
    <cellWatch r="G22803"/>
    <cellWatch r="G22804"/>
    <cellWatch r="G22805"/>
    <cellWatch r="G22806"/>
    <cellWatch r="G22807"/>
    <cellWatch r="G22808"/>
    <cellWatch r="G22809"/>
    <cellWatch r="G22810"/>
    <cellWatch r="G22811"/>
    <cellWatch r="G22812"/>
    <cellWatch r="G22813"/>
    <cellWatch r="G22814"/>
    <cellWatch r="G22815"/>
    <cellWatch r="G22816"/>
    <cellWatch r="G22817"/>
    <cellWatch r="G22818"/>
    <cellWatch r="G22819"/>
    <cellWatch r="G22820"/>
    <cellWatch r="G22821"/>
    <cellWatch r="G22822"/>
    <cellWatch r="G22823"/>
    <cellWatch r="G22824"/>
    <cellWatch r="G22825"/>
    <cellWatch r="G22826"/>
    <cellWatch r="G22827"/>
    <cellWatch r="G22828"/>
    <cellWatch r="G22829"/>
    <cellWatch r="G22830"/>
    <cellWatch r="G22831"/>
    <cellWatch r="G22832"/>
    <cellWatch r="G22833"/>
    <cellWatch r="G22834"/>
    <cellWatch r="G22835"/>
    <cellWatch r="G22836"/>
    <cellWatch r="G22837"/>
    <cellWatch r="G22838"/>
    <cellWatch r="G22839"/>
    <cellWatch r="G22840"/>
    <cellWatch r="G22841"/>
    <cellWatch r="G22842"/>
    <cellWatch r="G22843"/>
    <cellWatch r="G22844"/>
    <cellWatch r="G22845"/>
    <cellWatch r="G22846"/>
    <cellWatch r="G22847"/>
    <cellWatch r="G22848"/>
    <cellWatch r="G22849"/>
    <cellWatch r="G22850"/>
    <cellWatch r="G22851"/>
    <cellWatch r="G22852"/>
    <cellWatch r="G22853"/>
    <cellWatch r="G22854"/>
    <cellWatch r="G22855"/>
    <cellWatch r="G22856"/>
    <cellWatch r="G22857"/>
    <cellWatch r="G22858"/>
    <cellWatch r="G22859"/>
    <cellWatch r="G22860"/>
    <cellWatch r="G22861"/>
    <cellWatch r="G22862"/>
    <cellWatch r="G22863"/>
    <cellWatch r="G22864"/>
    <cellWatch r="G22865"/>
    <cellWatch r="G22866"/>
    <cellWatch r="G22867"/>
    <cellWatch r="G22868"/>
    <cellWatch r="G22869"/>
    <cellWatch r="G22870"/>
    <cellWatch r="G22871"/>
    <cellWatch r="G22872"/>
    <cellWatch r="G22873"/>
    <cellWatch r="G22874"/>
    <cellWatch r="G22875"/>
    <cellWatch r="G22876"/>
    <cellWatch r="G22877"/>
    <cellWatch r="G22878"/>
    <cellWatch r="G22879"/>
    <cellWatch r="G22880"/>
    <cellWatch r="G22881"/>
    <cellWatch r="G22882"/>
    <cellWatch r="G22883"/>
    <cellWatch r="G22884"/>
    <cellWatch r="G22885"/>
    <cellWatch r="G22886"/>
    <cellWatch r="G22887"/>
    <cellWatch r="G22888"/>
    <cellWatch r="G22889"/>
    <cellWatch r="G22890"/>
    <cellWatch r="G22891"/>
    <cellWatch r="G22892"/>
    <cellWatch r="G22893"/>
    <cellWatch r="G22894"/>
    <cellWatch r="G22895"/>
    <cellWatch r="G22896"/>
    <cellWatch r="G22897"/>
    <cellWatch r="G22898"/>
    <cellWatch r="G22899"/>
    <cellWatch r="G22900"/>
    <cellWatch r="G22901"/>
    <cellWatch r="G22902"/>
    <cellWatch r="G22903"/>
    <cellWatch r="G22904"/>
    <cellWatch r="G22905"/>
    <cellWatch r="G22906"/>
    <cellWatch r="G22907"/>
    <cellWatch r="G22908"/>
    <cellWatch r="G22909"/>
    <cellWatch r="G22910"/>
    <cellWatch r="G22911"/>
    <cellWatch r="G22912"/>
    <cellWatch r="G22913"/>
    <cellWatch r="G22914"/>
    <cellWatch r="G22915"/>
    <cellWatch r="G22916"/>
    <cellWatch r="G22917"/>
    <cellWatch r="G22918"/>
    <cellWatch r="G22919"/>
    <cellWatch r="G22920"/>
    <cellWatch r="G22921"/>
    <cellWatch r="G22922"/>
    <cellWatch r="G22923"/>
    <cellWatch r="G22924"/>
    <cellWatch r="G22925"/>
    <cellWatch r="G22926"/>
    <cellWatch r="G22927"/>
    <cellWatch r="G22928"/>
    <cellWatch r="G22929"/>
    <cellWatch r="G22930"/>
    <cellWatch r="G22931"/>
    <cellWatch r="G22932"/>
    <cellWatch r="G22933"/>
    <cellWatch r="G22934"/>
    <cellWatch r="G22935"/>
    <cellWatch r="G22936"/>
    <cellWatch r="G22937"/>
    <cellWatch r="G22938"/>
    <cellWatch r="G22939"/>
    <cellWatch r="G22940"/>
    <cellWatch r="G22941"/>
    <cellWatch r="G22942"/>
    <cellWatch r="G22943"/>
    <cellWatch r="G22944"/>
    <cellWatch r="G22945"/>
    <cellWatch r="G22946"/>
    <cellWatch r="G22947"/>
    <cellWatch r="G22948"/>
    <cellWatch r="G22949"/>
    <cellWatch r="G22950"/>
    <cellWatch r="G22951"/>
    <cellWatch r="G22952"/>
    <cellWatch r="G22953"/>
    <cellWatch r="G22954"/>
    <cellWatch r="G22955"/>
    <cellWatch r="G22956"/>
    <cellWatch r="G22957"/>
    <cellWatch r="G22958"/>
    <cellWatch r="G22959"/>
    <cellWatch r="G22960"/>
    <cellWatch r="G22961"/>
    <cellWatch r="G22962"/>
    <cellWatch r="G22963"/>
    <cellWatch r="G22964"/>
    <cellWatch r="G22965"/>
    <cellWatch r="G22966"/>
    <cellWatch r="G22967"/>
    <cellWatch r="G22968"/>
    <cellWatch r="G22969"/>
    <cellWatch r="G22970"/>
    <cellWatch r="G22971"/>
    <cellWatch r="G22972"/>
    <cellWatch r="G22973"/>
    <cellWatch r="G22974"/>
    <cellWatch r="G22975"/>
    <cellWatch r="G22976"/>
    <cellWatch r="G22977"/>
    <cellWatch r="G22978"/>
    <cellWatch r="G22979"/>
    <cellWatch r="G22980"/>
    <cellWatch r="G22981"/>
    <cellWatch r="G22982"/>
    <cellWatch r="G22983"/>
    <cellWatch r="G22984"/>
    <cellWatch r="G22985"/>
    <cellWatch r="G22986"/>
    <cellWatch r="G22987"/>
    <cellWatch r="G22988"/>
    <cellWatch r="G22989"/>
    <cellWatch r="G22990"/>
    <cellWatch r="G22991"/>
    <cellWatch r="G22992"/>
    <cellWatch r="G22993"/>
    <cellWatch r="G22994"/>
    <cellWatch r="G22995"/>
    <cellWatch r="G22996"/>
    <cellWatch r="G22997"/>
    <cellWatch r="G22998"/>
    <cellWatch r="G22999"/>
    <cellWatch r="G23000"/>
    <cellWatch r="G23001"/>
    <cellWatch r="G23002"/>
    <cellWatch r="G23003"/>
    <cellWatch r="G23004"/>
    <cellWatch r="G23005"/>
    <cellWatch r="G23006"/>
    <cellWatch r="G23007"/>
    <cellWatch r="G23008"/>
    <cellWatch r="G23009"/>
    <cellWatch r="G23010"/>
    <cellWatch r="G23011"/>
    <cellWatch r="G23012"/>
    <cellWatch r="G23013"/>
    <cellWatch r="G23014"/>
    <cellWatch r="G23015"/>
    <cellWatch r="G23016"/>
    <cellWatch r="G23017"/>
    <cellWatch r="G23018"/>
    <cellWatch r="G23019"/>
    <cellWatch r="G23020"/>
    <cellWatch r="G23021"/>
    <cellWatch r="G23022"/>
    <cellWatch r="G23023"/>
    <cellWatch r="G23024"/>
    <cellWatch r="G23025"/>
    <cellWatch r="G23026"/>
    <cellWatch r="G23027"/>
    <cellWatch r="G23028"/>
    <cellWatch r="G23029"/>
    <cellWatch r="G23030"/>
    <cellWatch r="G23031"/>
    <cellWatch r="G23032"/>
    <cellWatch r="G23033"/>
    <cellWatch r="G23034"/>
    <cellWatch r="G23035"/>
    <cellWatch r="G23036"/>
    <cellWatch r="G23037"/>
    <cellWatch r="G23038"/>
    <cellWatch r="G23039"/>
    <cellWatch r="G23040"/>
    <cellWatch r="G23041"/>
    <cellWatch r="G23042"/>
    <cellWatch r="G23043"/>
    <cellWatch r="G23044"/>
    <cellWatch r="G23045"/>
    <cellWatch r="G23046"/>
    <cellWatch r="G23047"/>
    <cellWatch r="G23048"/>
    <cellWatch r="G23049"/>
    <cellWatch r="G23050"/>
    <cellWatch r="G23051"/>
    <cellWatch r="G23052"/>
    <cellWatch r="G23053"/>
    <cellWatch r="G23054"/>
    <cellWatch r="G23055"/>
    <cellWatch r="G23056"/>
    <cellWatch r="G23057"/>
    <cellWatch r="G23058"/>
    <cellWatch r="G23059"/>
    <cellWatch r="G23060"/>
    <cellWatch r="G23061"/>
    <cellWatch r="G23062"/>
    <cellWatch r="G23063"/>
    <cellWatch r="G23064"/>
    <cellWatch r="G23065"/>
    <cellWatch r="G23066"/>
    <cellWatch r="G23067"/>
    <cellWatch r="G23068"/>
    <cellWatch r="G23069"/>
    <cellWatch r="G23070"/>
    <cellWatch r="G23071"/>
    <cellWatch r="G23072"/>
    <cellWatch r="G23073"/>
    <cellWatch r="G23074"/>
    <cellWatch r="G23075"/>
    <cellWatch r="G23076"/>
    <cellWatch r="G23077"/>
    <cellWatch r="G23078"/>
    <cellWatch r="G23079"/>
    <cellWatch r="G23080"/>
    <cellWatch r="G23081"/>
    <cellWatch r="G23082"/>
    <cellWatch r="G23083"/>
    <cellWatch r="G23084"/>
    <cellWatch r="G23085"/>
    <cellWatch r="G23086"/>
    <cellWatch r="G23087"/>
    <cellWatch r="G23088"/>
    <cellWatch r="G23089"/>
    <cellWatch r="G23090"/>
    <cellWatch r="G23091"/>
    <cellWatch r="G23092"/>
    <cellWatch r="G23093"/>
    <cellWatch r="G23094"/>
    <cellWatch r="G23095"/>
    <cellWatch r="G23096"/>
    <cellWatch r="G23097"/>
    <cellWatch r="G23098"/>
    <cellWatch r="G23099"/>
    <cellWatch r="G23100"/>
    <cellWatch r="G23101"/>
    <cellWatch r="G23102"/>
    <cellWatch r="G23103"/>
    <cellWatch r="G23104"/>
    <cellWatch r="G23105"/>
    <cellWatch r="G23106"/>
    <cellWatch r="G23107"/>
    <cellWatch r="G23108"/>
    <cellWatch r="G23109"/>
    <cellWatch r="G23110"/>
    <cellWatch r="G23111"/>
    <cellWatch r="G23112"/>
    <cellWatch r="G23113"/>
    <cellWatch r="G23114"/>
    <cellWatch r="G23115"/>
    <cellWatch r="G23116"/>
    <cellWatch r="G23117"/>
    <cellWatch r="G23118"/>
    <cellWatch r="G23119"/>
    <cellWatch r="G23120"/>
    <cellWatch r="G23121"/>
    <cellWatch r="G23122"/>
    <cellWatch r="G23123"/>
    <cellWatch r="G23124"/>
    <cellWatch r="G23125"/>
    <cellWatch r="G23126"/>
    <cellWatch r="G23127"/>
    <cellWatch r="G23128"/>
    <cellWatch r="G23129"/>
    <cellWatch r="G23130"/>
    <cellWatch r="G23131"/>
    <cellWatch r="G23132"/>
    <cellWatch r="G23133"/>
    <cellWatch r="G23134"/>
    <cellWatch r="G23135"/>
    <cellWatch r="G23136"/>
    <cellWatch r="G23137"/>
    <cellWatch r="G23138"/>
    <cellWatch r="G23139"/>
    <cellWatch r="G23140"/>
    <cellWatch r="G23141"/>
    <cellWatch r="G23142"/>
    <cellWatch r="G23143"/>
    <cellWatch r="G23144"/>
    <cellWatch r="G23145"/>
    <cellWatch r="G23146"/>
    <cellWatch r="G23147"/>
    <cellWatch r="G23148"/>
    <cellWatch r="G23149"/>
    <cellWatch r="G23150"/>
    <cellWatch r="G23151"/>
    <cellWatch r="G23152"/>
    <cellWatch r="G23153"/>
    <cellWatch r="G23154"/>
    <cellWatch r="G23155"/>
    <cellWatch r="G23156"/>
    <cellWatch r="G23157"/>
    <cellWatch r="G23158"/>
    <cellWatch r="G23159"/>
    <cellWatch r="G23160"/>
    <cellWatch r="G23161"/>
    <cellWatch r="G23162"/>
    <cellWatch r="G23163"/>
    <cellWatch r="G23164"/>
    <cellWatch r="G23165"/>
    <cellWatch r="G23166"/>
    <cellWatch r="G23167"/>
    <cellWatch r="G23168"/>
    <cellWatch r="G23169"/>
    <cellWatch r="G23170"/>
    <cellWatch r="G23171"/>
    <cellWatch r="G23172"/>
    <cellWatch r="G23173"/>
    <cellWatch r="G23174"/>
    <cellWatch r="G23175"/>
    <cellWatch r="G23176"/>
    <cellWatch r="G23177"/>
    <cellWatch r="G23178"/>
    <cellWatch r="G23179"/>
    <cellWatch r="G23180"/>
    <cellWatch r="G23181"/>
    <cellWatch r="G23182"/>
    <cellWatch r="G23183"/>
    <cellWatch r="G23184"/>
    <cellWatch r="G23185"/>
    <cellWatch r="G23186"/>
    <cellWatch r="G23187"/>
    <cellWatch r="G23188"/>
    <cellWatch r="G23189"/>
    <cellWatch r="G23190"/>
    <cellWatch r="G23191"/>
    <cellWatch r="G23192"/>
    <cellWatch r="G23193"/>
    <cellWatch r="G23194"/>
    <cellWatch r="G23195"/>
    <cellWatch r="G23196"/>
    <cellWatch r="G23197"/>
    <cellWatch r="G23198"/>
    <cellWatch r="G23199"/>
    <cellWatch r="G23200"/>
    <cellWatch r="G23201"/>
    <cellWatch r="G23202"/>
    <cellWatch r="G23203"/>
    <cellWatch r="G23204"/>
    <cellWatch r="G23205"/>
    <cellWatch r="G23206"/>
    <cellWatch r="G23207"/>
    <cellWatch r="G23208"/>
    <cellWatch r="G23209"/>
    <cellWatch r="G23210"/>
    <cellWatch r="G23211"/>
    <cellWatch r="G23212"/>
    <cellWatch r="G23213"/>
    <cellWatch r="G23214"/>
    <cellWatch r="G23215"/>
    <cellWatch r="G23216"/>
    <cellWatch r="G23217"/>
    <cellWatch r="G23218"/>
    <cellWatch r="G23219"/>
    <cellWatch r="G23220"/>
    <cellWatch r="G23221"/>
    <cellWatch r="G23222"/>
    <cellWatch r="G23223"/>
    <cellWatch r="G23224"/>
    <cellWatch r="G23225"/>
    <cellWatch r="G23226"/>
    <cellWatch r="G23227"/>
    <cellWatch r="G23228"/>
    <cellWatch r="G23229"/>
    <cellWatch r="G23230"/>
    <cellWatch r="G23231"/>
    <cellWatch r="G23232"/>
    <cellWatch r="G23233"/>
    <cellWatch r="G23234"/>
    <cellWatch r="G23235"/>
    <cellWatch r="G23236"/>
    <cellWatch r="G23237"/>
    <cellWatch r="G23238"/>
    <cellWatch r="G23239"/>
    <cellWatch r="G23240"/>
    <cellWatch r="G23241"/>
    <cellWatch r="G23242"/>
    <cellWatch r="G23243"/>
    <cellWatch r="G23244"/>
    <cellWatch r="G23245"/>
    <cellWatch r="G23246"/>
    <cellWatch r="G23247"/>
    <cellWatch r="G23248"/>
    <cellWatch r="G23249"/>
    <cellWatch r="G23250"/>
    <cellWatch r="G23251"/>
    <cellWatch r="G23252"/>
    <cellWatch r="G23253"/>
    <cellWatch r="G23254"/>
    <cellWatch r="G23255"/>
    <cellWatch r="G23256"/>
    <cellWatch r="G23257"/>
    <cellWatch r="G23258"/>
    <cellWatch r="G23259"/>
    <cellWatch r="G23260"/>
    <cellWatch r="G23261"/>
    <cellWatch r="G23262"/>
    <cellWatch r="G23263"/>
    <cellWatch r="G23264"/>
    <cellWatch r="G23265"/>
    <cellWatch r="G23266"/>
    <cellWatch r="G23267"/>
    <cellWatch r="G23268"/>
    <cellWatch r="G23269"/>
    <cellWatch r="G23270"/>
    <cellWatch r="G23271"/>
    <cellWatch r="G23272"/>
    <cellWatch r="G23273"/>
    <cellWatch r="G23274"/>
    <cellWatch r="G23275"/>
    <cellWatch r="G23276"/>
    <cellWatch r="G23277"/>
    <cellWatch r="G23278"/>
    <cellWatch r="G23279"/>
    <cellWatch r="G23280"/>
    <cellWatch r="G23281"/>
    <cellWatch r="G23282"/>
    <cellWatch r="G23283"/>
    <cellWatch r="G23284"/>
    <cellWatch r="G23285"/>
    <cellWatch r="G23286"/>
    <cellWatch r="G23287"/>
    <cellWatch r="G23288"/>
    <cellWatch r="G23289"/>
    <cellWatch r="G23290"/>
    <cellWatch r="G23291"/>
    <cellWatch r="G23292"/>
    <cellWatch r="G23293"/>
    <cellWatch r="G23294"/>
    <cellWatch r="G23295"/>
    <cellWatch r="G23296"/>
    <cellWatch r="G23297"/>
    <cellWatch r="G23298"/>
    <cellWatch r="G23299"/>
    <cellWatch r="G23300"/>
    <cellWatch r="G23301"/>
    <cellWatch r="G23302"/>
    <cellWatch r="G23303"/>
    <cellWatch r="G23304"/>
    <cellWatch r="G23305"/>
    <cellWatch r="G23306"/>
    <cellWatch r="G23307"/>
    <cellWatch r="G23308"/>
    <cellWatch r="G23309"/>
    <cellWatch r="G23310"/>
    <cellWatch r="G23311"/>
    <cellWatch r="G23312"/>
    <cellWatch r="G23313"/>
    <cellWatch r="G23314"/>
    <cellWatch r="G23315"/>
    <cellWatch r="G23316"/>
    <cellWatch r="G23317"/>
    <cellWatch r="G23318"/>
    <cellWatch r="G23319"/>
    <cellWatch r="G23320"/>
    <cellWatch r="G23321"/>
    <cellWatch r="G23322"/>
    <cellWatch r="G23323"/>
    <cellWatch r="G23324"/>
    <cellWatch r="G23325"/>
    <cellWatch r="G23326"/>
    <cellWatch r="G23327"/>
    <cellWatch r="G23328"/>
    <cellWatch r="G23329"/>
    <cellWatch r="G23330"/>
    <cellWatch r="G23331"/>
    <cellWatch r="G23332"/>
    <cellWatch r="G23333"/>
    <cellWatch r="G23334"/>
    <cellWatch r="G23335"/>
    <cellWatch r="G23336"/>
    <cellWatch r="G23337"/>
    <cellWatch r="G23338"/>
    <cellWatch r="G23339"/>
    <cellWatch r="G23340"/>
    <cellWatch r="G23341"/>
    <cellWatch r="G23342"/>
    <cellWatch r="G23343"/>
    <cellWatch r="G23344"/>
    <cellWatch r="G23345"/>
    <cellWatch r="G23346"/>
    <cellWatch r="G23347"/>
    <cellWatch r="G23348"/>
    <cellWatch r="G23349"/>
    <cellWatch r="G23350"/>
    <cellWatch r="G23351"/>
    <cellWatch r="G23352"/>
    <cellWatch r="G23353"/>
    <cellWatch r="G23354"/>
    <cellWatch r="G23355"/>
    <cellWatch r="G23356"/>
    <cellWatch r="G23357"/>
    <cellWatch r="G23358"/>
    <cellWatch r="G23359"/>
    <cellWatch r="G23360"/>
    <cellWatch r="G23361"/>
    <cellWatch r="G23362"/>
    <cellWatch r="G23363"/>
    <cellWatch r="G23364"/>
    <cellWatch r="G23365"/>
    <cellWatch r="G23366"/>
    <cellWatch r="G23367"/>
    <cellWatch r="G23368"/>
    <cellWatch r="G23369"/>
    <cellWatch r="G23370"/>
    <cellWatch r="G23371"/>
    <cellWatch r="G23372"/>
    <cellWatch r="G23373"/>
    <cellWatch r="G23374"/>
    <cellWatch r="G23375"/>
    <cellWatch r="G23376"/>
    <cellWatch r="G23377"/>
    <cellWatch r="G23378"/>
    <cellWatch r="G23379"/>
    <cellWatch r="G23380"/>
    <cellWatch r="G23381"/>
    <cellWatch r="G23382"/>
    <cellWatch r="G23383"/>
    <cellWatch r="G23384"/>
    <cellWatch r="G23385"/>
    <cellWatch r="G23386"/>
    <cellWatch r="G23387"/>
    <cellWatch r="G23388"/>
    <cellWatch r="G23389"/>
    <cellWatch r="G23390"/>
    <cellWatch r="G23391"/>
    <cellWatch r="G23392"/>
    <cellWatch r="G23393"/>
    <cellWatch r="G23394"/>
    <cellWatch r="G23395"/>
    <cellWatch r="G23396"/>
    <cellWatch r="G23397"/>
    <cellWatch r="G23398"/>
    <cellWatch r="G23399"/>
    <cellWatch r="G23400"/>
    <cellWatch r="G23401"/>
    <cellWatch r="G23402"/>
    <cellWatch r="G23403"/>
    <cellWatch r="G23404"/>
    <cellWatch r="G23405"/>
    <cellWatch r="G23406"/>
    <cellWatch r="G23407"/>
    <cellWatch r="G23408"/>
    <cellWatch r="G23409"/>
    <cellWatch r="G23410"/>
    <cellWatch r="G23411"/>
    <cellWatch r="G23412"/>
    <cellWatch r="G23413"/>
    <cellWatch r="G23414"/>
    <cellWatch r="G23415"/>
    <cellWatch r="G23416"/>
    <cellWatch r="G23417"/>
    <cellWatch r="G23418"/>
    <cellWatch r="G23419"/>
    <cellWatch r="G23420"/>
    <cellWatch r="G23421"/>
    <cellWatch r="G23422"/>
    <cellWatch r="G23423"/>
    <cellWatch r="G23424"/>
    <cellWatch r="G23425"/>
    <cellWatch r="G23426"/>
    <cellWatch r="G23427"/>
    <cellWatch r="G23428"/>
    <cellWatch r="G23429"/>
    <cellWatch r="G23430"/>
    <cellWatch r="G23431"/>
    <cellWatch r="G23432"/>
    <cellWatch r="G23433"/>
    <cellWatch r="G23434"/>
    <cellWatch r="G23435"/>
    <cellWatch r="G23436"/>
    <cellWatch r="G23437"/>
    <cellWatch r="G23438"/>
    <cellWatch r="G23439"/>
    <cellWatch r="G23440"/>
    <cellWatch r="G23441"/>
    <cellWatch r="G23442"/>
    <cellWatch r="G23443"/>
    <cellWatch r="G23444"/>
    <cellWatch r="G23445"/>
    <cellWatch r="G23446"/>
    <cellWatch r="G23447"/>
    <cellWatch r="G23448"/>
    <cellWatch r="G23449"/>
    <cellWatch r="G23450"/>
    <cellWatch r="G23451"/>
    <cellWatch r="G23452"/>
    <cellWatch r="G23453"/>
    <cellWatch r="G23454"/>
    <cellWatch r="G23455"/>
    <cellWatch r="G23456"/>
    <cellWatch r="G23457"/>
    <cellWatch r="G23458"/>
    <cellWatch r="G23459"/>
    <cellWatch r="G23460"/>
    <cellWatch r="G23461"/>
    <cellWatch r="G23462"/>
    <cellWatch r="G23463"/>
    <cellWatch r="G23464"/>
    <cellWatch r="G23465"/>
    <cellWatch r="G23466"/>
    <cellWatch r="G23467"/>
    <cellWatch r="G23468"/>
    <cellWatch r="G23469"/>
    <cellWatch r="G23470"/>
    <cellWatch r="G23471"/>
    <cellWatch r="G23472"/>
    <cellWatch r="G23473"/>
    <cellWatch r="G23474"/>
    <cellWatch r="G23475"/>
    <cellWatch r="G23476"/>
    <cellWatch r="G23477"/>
    <cellWatch r="G23478"/>
    <cellWatch r="G23479"/>
    <cellWatch r="G23480"/>
    <cellWatch r="G23481"/>
    <cellWatch r="G23482"/>
    <cellWatch r="G23483"/>
    <cellWatch r="G23484"/>
    <cellWatch r="G23485"/>
    <cellWatch r="G23486"/>
    <cellWatch r="G23487"/>
    <cellWatch r="G23488"/>
    <cellWatch r="G23489"/>
    <cellWatch r="G23490"/>
    <cellWatch r="G23491"/>
    <cellWatch r="G23492"/>
    <cellWatch r="G23493"/>
    <cellWatch r="G23494"/>
    <cellWatch r="G23495"/>
    <cellWatch r="G23496"/>
    <cellWatch r="G23497"/>
    <cellWatch r="G23498"/>
    <cellWatch r="G23499"/>
    <cellWatch r="G23500"/>
    <cellWatch r="G23501"/>
    <cellWatch r="G23502"/>
    <cellWatch r="G23503"/>
    <cellWatch r="G23504"/>
    <cellWatch r="G23505"/>
    <cellWatch r="G23506"/>
    <cellWatch r="G23507"/>
    <cellWatch r="G23508"/>
    <cellWatch r="G23509"/>
    <cellWatch r="G23510"/>
    <cellWatch r="G23511"/>
    <cellWatch r="G23512"/>
    <cellWatch r="G23513"/>
    <cellWatch r="G23514"/>
    <cellWatch r="G23515"/>
    <cellWatch r="G23516"/>
    <cellWatch r="G23517"/>
    <cellWatch r="G23518"/>
    <cellWatch r="G23519"/>
    <cellWatch r="G23520"/>
    <cellWatch r="G23521"/>
    <cellWatch r="G23522"/>
    <cellWatch r="G23523"/>
    <cellWatch r="G23524"/>
    <cellWatch r="G23525"/>
    <cellWatch r="G23526"/>
    <cellWatch r="G23527"/>
    <cellWatch r="G23528"/>
    <cellWatch r="G23529"/>
    <cellWatch r="G23530"/>
    <cellWatch r="G23531"/>
    <cellWatch r="G23532"/>
    <cellWatch r="G23533"/>
    <cellWatch r="G23534"/>
    <cellWatch r="G23535"/>
    <cellWatch r="G23536"/>
    <cellWatch r="G23537"/>
    <cellWatch r="G23538"/>
    <cellWatch r="G23539"/>
    <cellWatch r="G23540"/>
    <cellWatch r="G23541"/>
    <cellWatch r="G23542"/>
    <cellWatch r="G23543"/>
    <cellWatch r="G23544"/>
    <cellWatch r="G23545"/>
    <cellWatch r="G23546"/>
    <cellWatch r="G23547"/>
    <cellWatch r="G23548"/>
    <cellWatch r="G23549"/>
    <cellWatch r="G23550"/>
    <cellWatch r="G23551"/>
    <cellWatch r="G23552"/>
    <cellWatch r="G23553"/>
    <cellWatch r="G23554"/>
    <cellWatch r="G23555"/>
    <cellWatch r="G23556"/>
    <cellWatch r="G23557"/>
    <cellWatch r="G23558"/>
    <cellWatch r="G23559"/>
    <cellWatch r="G23560"/>
    <cellWatch r="G23561"/>
    <cellWatch r="G23562"/>
    <cellWatch r="G23563"/>
    <cellWatch r="G23564"/>
    <cellWatch r="G23565"/>
    <cellWatch r="G23566"/>
    <cellWatch r="G23567"/>
    <cellWatch r="G23568"/>
    <cellWatch r="G23569"/>
    <cellWatch r="G23570"/>
    <cellWatch r="G23571"/>
    <cellWatch r="G23572"/>
    <cellWatch r="G23573"/>
    <cellWatch r="G23574"/>
    <cellWatch r="G23575"/>
    <cellWatch r="G23576"/>
    <cellWatch r="G23577"/>
    <cellWatch r="G23578"/>
    <cellWatch r="G23579"/>
    <cellWatch r="G23580"/>
    <cellWatch r="G23581"/>
    <cellWatch r="G23582"/>
    <cellWatch r="G23583"/>
    <cellWatch r="G23584"/>
    <cellWatch r="G23585"/>
    <cellWatch r="G23586"/>
    <cellWatch r="G23587"/>
    <cellWatch r="G23588"/>
    <cellWatch r="G23589"/>
    <cellWatch r="G23590"/>
    <cellWatch r="G23591"/>
    <cellWatch r="G23592"/>
    <cellWatch r="G23593"/>
    <cellWatch r="G23594"/>
    <cellWatch r="G23595"/>
    <cellWatch r="G23596"/>
    <cellWatch r="G23597"/>
    <cellWatch r="G23598"/>
    <cellWatch r="G23599"/>
    <cellWatch r="G23600"/>
    <cellWatch r="G23601"/>
    <cellWatch r="G23602"/>
    <cellWatch r="G23603"/>
    <cellWatch r="G23604"/>
    <cellWatch r="G23605"/>
    <cellWatch r="G23606"/>
    <cellWatch r="G23607"/>
    <cellWatch r="G23608"/>
    <cellWatch r="G23609"/>
    <cellWatch r="G23610"/>
    <cellWatch r="G23611"/>
    <cellWatch r="G23612"/>
    <cellWatch r="G23613"/>
    <cellWatch r="G23614"/>
    <cellWatch r="G23615"/>
    <cellWatch r="G23616"/>
    <cellWatch r="G23617"/>
    <cellWatch r="G23618"/>
    <cellWatch r="G23619"/>
    <cellWatch r="G23620"/>
    <cellWatch r="G23621"/>
    <cellWatch r="G23622"/>
    <cellWatch r="G23623"/>
    <cellWatch r="G23624"/>
    <cellWatch r="G23625"/>
    <cellWatch r="G23626"/>
    <cellWatch r="G23627"/>
    <cellWatch r="G23628"/>
    <cellWatch r="G23629"/>
    <cellWatch r="G23630"/>
    <cellWatch r="G23631"/>
    <cellWatch r="G23632"/>
    <cellWatch r="G23633"/>
    <cellWatch r="G23634"/>
    <cellWatch r="G23635"/>
    <cellWatch r="G23636"/>
    <cellWatch r="G23637"/>
    <cellWatch r="G23638"/>
    <cellWatch r="G23639"/>
    <cellWatch r="G23640"/>
    <cellWatch r="G23641"/>
    <cellWatch r="G23642"/>
    <cellWatch r="G23643"/>
    <cellWatch r="G23644"/>
    <cellWatch r="G23645"/>
    <cellWatch r="G23646"/>
    <cellWatch r="G23647"/>
    <cellWatch r="G23648"/>
    <cellWatch r="G23649"/>
    <cellWatch r="G23650"/>
    <cellWatch r="G23651"/>
    <cellWatch r="G23652"/>
    <cellWatch r="G23653"/>
    <cellWatch r="G23654"/>
    <cellWatch r="G23655"/>
    <cellWatch r="G23656"/>
    <cellWatch r="G23657"/>
    <cellWatch r="G23658"/>
    <cellWatch r="G23659"/>
    <cellWatch r="G23660"/>
    <cellWatch r="G23661"/>
    <cellWatch r="G23662"/>
    <cellWatch r="G23663"/>
    <cellWatch r="G23664"/>
    <cellWatch r="G23665"/>
    <cellWatch r="G23666"/>
    <cellWatch r="G23667"/>
    <cellWatch r="G23668"/>
    <cellWatch r="G23669"/>
    <cellWatch r="G23670"/>
    <cellWatch r="G23671"/>
    <cellWatch r="G23672"/>
    <cellWatch r="G23673"/>
    <cellWatch r="G23674"/>
    <cellWatch r="G23675"/>
    <cellWatch r="G23676"/>
    <cellWatch r="G23677"/>
    <cellWatch r="G23678"/>
    <cellWatch r="G23679"/>
    <cellWatch r="G23680"/>
    <cellWatch r="G23681"/>
    <cellWatch r="G23682"/>
    <cellWatch r="G23683"/>
    <cellWatch r="G23684"/>
    <cellWatch r="G23685"/>
    <cellWatch r="G23686"/>
    <cellWatch r="G23687"/>
    <cellWatch r="G23688"/>
    <cellWatch r="G23689"/>
    <cellWatch r="G23690"/>
    <cellWatch r="G23691"/>
    <cellWatch r="G23692"/>
    <cellWatch r="G23693"/>
    <cellWatch r="G23694"/>
    <cellWatch r="G23695"/>
    <cellWatch r="G23696"/>
    <cellWatch r="G23697"/>
    <cellWatch r="G23698"/>
    <cellWatch r="G23699"/>
    <cellWatch r="G23700"/>
    <cellWatch r="G23701"/>
    <cellWatch r="G23702"/>
    <cellWatch r="G23703"/>
    <cellWatch r="G23704"/>
    <cellWatch r="G23705"/>
    <cellWatch r="G23706"/>
    <cellWatch r="G23707"/>
    <cellWatch r="G23708"/>
    <cellWatch r="G23709"/>
    <cellWatch r="G23710"/>
    <cellWatch r="G23711"/>
    <cellWatch r="G23712"/>
    <cellWatch r="G23713"/>
    <cellWatch r="G23714"/>
    <cellWatch r="G23715"/>
    <cellWatch r="G23716"/>
    <cellWatch r="G23717"/>
    <cellWatch r="G23718"/>
    <cellWatch r="G23719"/>
    <cellWatch r="G23720"/>
    <cellWatch r="G23721"/>
    <cellWatch r="G23722"/>
    <cellWatch r="G23723"/>
    <cellWatch r="G23724"/>
    <cellWatch r="G23725"/>
    <cellWatch r="G23726"/>
    <cellWatch r="G23727"/>
    <cellWatch r="G23728"/>
    <cellWatch r="G23729"/>
    <cellWatch r="G23730"/>
    <cellWatch r="G23731"/>
    <cellWatch r="G23732"/>
    <cellWatch r="G23733"/>
    <cellWatch r="G23734"/>
    <cellWatch r="G23735"/>
    <cellWatch r="G23736"/>
    <cellWatch r="G23737"/>
    <cellWatch r="G23738"/>
    <cellWatch r="G23739"/>
    <cellWatch r="G23740"/>
    <cellWatch r="G23741"/>
    <cellWatch r="G23742"/>
    <cellWatch r="G23743"/>
    <cellWatch r="G23744"/>
    <cellWatch r="G23745"/>
    <cellWatch r="G23746"/>
    <cellWatch r="G23747"/>
    <cellWatch r="G23748"/>
    <cellWatch r="G23749"/>
    <cellWatch r="G23750"/>
    <cellWatch r="G23751"/>
    <cellWatch r="G23752"/>
    <cellWatch r="G23753"/>
    <cellWatch r="G23754"/>
    <cellWatch r="G23755"/>
    <cellWatch r="G23756"/>
    <cellWatch r="G23757"/>
    <cellWatch r="G23758"/>
    <cellWatch r="G23759"/>
    <cellWatch r="G23760"/>
    <cellWatch r="G23761"/>
    <cellWatch r="G23762"/>
    <cellWatch r="G23763"/>
    <cellWatch r="G23764"/>
    <cellWatch r="G23765"/>
    <cellWatch r="G23766"/>
    <cellWatch r="G23767"/>
    <cellWatch r="G23768"/>
    <cellWatch r="G23769"/>
    <cellWatch r="G23770"/>
    <cellWatch r="G23771"/>
    <cellWatch r="G23772"/>
    <cellWatch r="G23773"/>
    <cellWatch r="G23774"/>
    <cellWatch r="G23775"/>
    <cellWatch r="G23776"/>
    <cellWatch r="G23777"/>
    <cellWatch r="G23778"/>
    <cellWatch r="G23779"/>
    <cellWatch r="G23780"/>
    <cellWatch r="G23781"/>
    <cellWatch r="G23782"/>
    <cellWatch r="G23783"/>
    <cellWatch r="G23784"/>
    <cellWatch r="G23785"/>
    <cellWatch r="G23786"/>
    <cellWatch r="G23787"/>
    <cellWatch r="G23788"/>
    <cellWatch r="G23789"/>
    <cellWatch r="G23790"/>
    <cellWatch r="G23791"/>
    <cellWatch r="G23792"/>
    <cellWatch r="G23793"/>
    <cellWatch r="G23794"/>
    <cellWatch r="G23795"/>
    <cellWatch r="G23796"/>
    <cellWatch r="G23797"/>
    <cellWatch r="G23798"/>
    <cellWatch r="G23799"/>
    <cellWatch r="G23800"/>
    <cellWatch r="G23801"/>
    <cellWatch r="G23802"/>
    <cellWatch r="G23803"/>
    <cellWatch r="G23804"/>
    <cellWatch r="G23805"/>
    <cellWatch r="G23806"/>
    <cellWatch r="G23807"/>
    <cellWatch r="G23808"/>
    <cellWatch r="G23809"/>
    <cellWatch r="G23810"/>
    <cellWatch r="G23811"/>
    <cellWatch r="G23812"/>
    <cellWatch r="G23813"/>
    <cellWatch r="G23814"/>
    <cellWatch r="G23815"/>
    <cellWatch r="G23816"/>
    <cellWatch r="G23817"/>
    <cellWatch r="G23818"/>
    <cellWatch r="G23819"/>
    <cellWatch r="G23820"/>
    <cellWatch r="G23821"/>
    <cellWatch r="G23822"/>
    <cellWatch r="G23823"/>
    <cellWatch r="G23824"/>
    <cellWatch r="G23825"/>
    <cellWatch r="G23826"/>
    <cellWatch r="G23827"/>
    <cellWatch r="G23828"/>
    <cellWatch r="G23829"/>
    <cellWatch r="G23830"/>
    <cellWatch r="G23831"/>
    <cellWatch r="G23832"/>
    <cellWatch r="G23833"/>
    <cellWatch r="G23834"/>
    <cellWatch r="G23835"/>
    <cellWatch r="G23836"/>
    <cellWatch r="G23837"/>
    <cellWatch r="G23838"/>
    <cellWatch r="G23839"/>
    <cellWatch r="G23840"/>
    <cellWatch r="G23841"/>
    <cellWatch r="G23842"/>
    <cellWatch r="G23843"/>
    <cellWatch r="G23844"/>
    <cellWatch r="G23845"/>
    <cellWatch r="G23846"/>
    <cellWatch r="G23847"/>
    <cellWatch r="G23848"/>
    <cellWatch r="G23849"/>
    <cellWatch r="G23850"/>
    <cellWatch r="G23851"/>
    <cellWatch r="G23852"/>
    <cellWatch r="G23853"/>
    <cellWatch r="G23854"/>
    <cellWatch r="G23855"/>
    <cellWatch r="G23856"/>
    <cellWatch r="G23857"/>
    <cellWatch r="G23858"/>
    <cellWatch r="G23859"/>
    <cellWatch r="G23860"/>
    <cellWatch r="G23861"/>
    <cellWatch r="G23862"/>
    <cellWatch r="G23863"/>
    <cellWatch r="G23864"/>
    <cellWatch r="G23865"/>
    <cellWatch r="G23866"/>
    <cellWatch r="G23867"/>
    <cellWatch r="G23868"/>
    <cellWatch r="G23869"/>
    <cellWatch r="G23870"/>
    <cellWatch r="G23871"/>
    <cellWatch r="G23872"/>
    <cellWatch r="G23873"/>
    <cellWatch r="G23874"/>
    <cellWatch r="G23875"/>
    <cellWatch r="G23876"/>
    <cellWatch r="G23877"/>
    <cellWatch r="G23878"/>
    <cellWatch r="G23879"/>
    <cellWatch r="G23880"/>
    <cellWatch r="G23881"/>
    <cellWatch r="G23882"/>
    <cellWatch r="G23883"/>
    <cellWatch r="G23884"/>
    <cellWatch r="G23885"/>
    <cellWatch r="G23886"/>
    <cellWatch r="G23887"/>
    <cellWatch r="G23888"/>
    <cellWatch r="G23889"/>
    <cellWatch r="G23890"/>
    <cellWatch r="G23891"/>
    <cellWatch r="G23892"/>
    <cellWatch r="G23893"/>
    <cellWatch r="G23894"/>
    <cellWatch r="G23895"/>
    <cellWatch r="G23896"/>
    <cellWatch r="G23897"/>
    <cellWatch r="G23898"/>
    <cellWatch r="G23899"/>
    <cellWatch r="G23900"/>
    <cellWatch r="G23901"/>
    <cellWatch r="G23902"/>
    <cellWatch r="G23903"/>
    <cellWatch r="G23904"/>
    <cellWatch r="G23905"/>
    <cellWatch r="G23906"/>
    <cellWatch r="G23907"/>
    <cellWatch r="G23908"/>
    <cellWatch r="G23909"/>
    <cellWatch r="G23910"/>
    <cellWatch r="G23911"/>
    <cellWatch r="G23912"/>
    <cellWatch r="G23913"/>
    <cellWatch r="G23914"/>
    <cellWatch r="G23915"/>
    <cellWatch r="G23916"/>
    <cellWatch r="G23917"/>
    <cellWatch r="G23918"/>
    <cellWatch r="G23919"/>
    <cellWatch r="G23920"/>
    <cellWatch r="G23921"/>
    <cellWatch r="G23922"/>
    <cellWatch r="G23923"/>
    <cellWatch r="G23924"/>
    <cellWatch r="G23925"/>
    <cellWatch r="G23926"/>
    <cellWatch r="G23927"/>
    <cellWatch r="G23928"/>
    <cellWatch r="G23929"/>
    <cellWatch r="G23930"/>
    <cellWatch r="G23931"/>
    <cellWatch r="G23932"/>
    <cellWatch r="G23933"/>
    <cellWatch r="G23934"/>
    <cellWatch r="G23935"/>
    <cellWatch r="G23936"/>
    <cellWatch r="G23937"/>
    <cellWatch r="G23938"/>
    <cellWatch r="G23939"/>
    <cellWatch r="G23940"/>
    <cellWatch r="G23941"/>
    <cellWatch r="G23942"/>
    <cellWatch r="G23943"/>
    <cellWatch r="G23944"/>
    <cellWatch r="G23945"/>
    <cellWatch r="G23946"/>
    <cellWatch r="G23947"/>
    <cellWatch r="G23948"/>
    <cellWatch r="G23949"/>
    <cellWatch r="G23950"/>
    <cellWatch r="G23951"/>
    <cellWatch r="G23952"/>
    <cellWatch r="G23953"/>
    <cellWatch r="G23954"/>
    <cellWatch r="G23955"/>
    <cellWatch r="G23956"/>
    <cellWatch r="G23957"/>
    <cellWatch r="G23958"/>
    <cellWatch r="G23959"/>
    <cellWatch r="G23960"/>
    <cellWatch r="G23961"/>
    <cellWatch r="G23962"/>
    <cellWatch r="G23963"/>
    <cellWatch r="G23964"/>
    <cellWatch r="G23965"/>
    <cellWatch r="G23966"/>
    <cellWatch r="G23967"/>
    <cellWatch r="G23968"/>
    <cellWatch r="G23969"/>
    <cellWatch r="G23970"/>
    <cellWatch r="G23971"/>
    <cellWatch r="G23972"/>
    <cellWatch r="G23973"/>
    <cellWatch r="G23974"/>
    <cellWatch r="G23975"/>
    <cellWatch r="G23976"/>
    <cellWatch r="G23977"/>
    <cellWatch r="G23978"/>
    <cellWatch r="G23979"/>
    <cellWatch r="G23980"/>
    <cellWatch r="G23981"/>
    <cellWatch r="G23982"/>
    <cellWatch r="G23983"/>
    <cellWatch r="G23984"/>
    <cellWatch r="G23985"/>
    <cellWatch r="G23986"/>
    <cellWatch r="G23987"/>
    <cellWatch r="G23988"/>
    <cellWatch r="G23989"/>
    <cellWatch r="G23990"/>
    <cellWatch r="G23991"/>
    <cellWatch r="G23992"/>
    <cellWatch r="G23993"/>
    <cellWatch r="G23994"/>
    <cellWatch r="G23995"/>
    <cellWatch r="G23996"/>
    <cellWatch r="G23997"/>
    <cellWatch r="G23998"/>
    <cellWatch r="G23999"/>
    <cellWatch r="G24000"/>
    <cellWatch r="G24001"/>
    <cellWatch r="G24002"/>
    <cellWatch r="G24003"/>
    <cellWatch r="G24004"/>
    <cellWatch r="G24005"/>
    <cellWatch r="G24006"/>
    <cellWatch r="G24007"/>
    <cellWatch r="G24008"/>
    <cellWatch r="G24009"/>
    <cellWatch r="G24010"/>
    <cellWatch r="G24011"/>
    <cellWatch r="G24012"/>
    <cellWatch r="G24013"/>
    <cellWatch r="G24014"/>
    <cellWatch r="G24015"/>
    <cellWatch r="G24016"/>
    <cellWatch r="G24017"/>
    <cellWatch r="G24018"/>
    <cellWatch r="G24019"/>
    <cellWatch r="G24020"/>
    <cellWatch r="G24021"/>
    <cellWatch r="G24022"/>
    <cellWatch r="G24023"/>
    <cellWatch r="G24024"/>
    <cellWatch r="G24025"/>
    <cellWatch r="G24026"/>
    <cellWatch r="G24027"/>
    <cellWatch r="G24028"/>
    <cellWatch r="G24029"/>
    <cellWatch r="G24030"/>
    <cellWatch r="G24031"/>
    <cellWatch r="G24032"/>
    <cellWatch r="G24033"/>
    <cellWatch r="G24034"/>
    <cellWatch r="G24035"/>
    <cellWatch r="G24036"/>
    <cellWatch r="G24037"/>
    <cellWatch r="G24038"/>
    <cellWatch r="G24039"/>
    <cellWatch r="G24040"/>
    <cellWatch r="G24041"/>
    <cellWatch r="G24042"/>
    <cellWatch r="G24043"/>
    <cellWatch r="G24044"/>
    <cellWatch r="G24045"/>
    <cellWatch r="G24046"/>
    <cellWatch r="G24047"/>
    <cellWatch r="G24048"/>
    <cellWatch r="G24049"/>
    <cellWatch r="G24050"/>
    <cellWatch r="G24051"/>
    <cellWatch r="G24052"/>
    <cellWatch r="G24053"/>
    <cellWatch r="G24054"/>
    <cellWatch r="G24055"/>
    <cellWatch r="G24056"/>
    <cellWatch r="G24057"/>
    <cellWatch r="G24058"/>
    <cellWatch r="G24059"/>
    <cellWatch r="G24060"/>
    <cellWatch r="G24061"/>
    <cellWatch r="G24062"/>
    <cellWatch r="G24063"/>
    <cellWatch r="G24064"/>
    <cellWatch r="G24065"/>
    <cellWatch r="G24066"/>
    <cellWatch r="G24067"/>
    <cellWatch r="G24068"/>
    <cellWatch r="G24069"/>
    <cellWatch r="G24070"/>
    <cellWatch r="G24071"/>
    <cellWatch r="G24072"/>
    <cellWatch r="G24073"/>
    <cellWatch r="G24074"/>
    <cellWatch r="G24075"/>
    <cellWatch r="G24076"/>
    <cellWatch r="G24077"/>
    <cellWatch r="G24078"/>
    <cellWatch r="G24079"/>
    <cellWatch r="G24080"/>
    <cellWatch r="G24081"/>
    <cellWatch r="G24082"/>
    <cellWatch r="G24083"/>
    <cellWatch r="G24084"/>
    <cellWatch r="G24085"/>
    <cellWatch r="G24086"/>
    <cellWatch r="G24087"/>
    <cellWatch r="G24088"/>
    <cellWatch r="G24089"/>
    <cellWatch r="G24090"/>
    <cellWatch r="G24091"/>
    <cellWatch r="G24092"/>
    <cellWatch r="G24093"/>
    <cellWatch r="G24094"/>
    <cellWatch r="G24095"/>
    <cellWatch r="G24096"/>
    <cellWatch r="G24097"/>
    <cellWatch r="G24098"/>
    <cellWatch r="G24099"/>
    <cellWatch r="G24100"/>
    <cellWatch r="G24101"/>
    <cellWatch r="G24102"/>
    <cellWatch r="G24103"/>
    <cellWatch r="G24104"/>
    <cellWatch r="G24105"/>
    <cellWatch r="G24106"/>
    <cellWatch r="G24107"/>
    <cellWatch r="G24108"/>
    <cellWatch r="G24109"/>
    <cellWatch r="G24110"/>
    <cellWatch r="G24111"/>
    <cellWatch r="G24112"/>
    <cellWatch r="G24113"/>
    <cellWatch r="G24114"/>
    <cellWatch r="G24115"/>
    <cellWatch r="G24116"/>
    <cellWatch r="G24117"/>
    <cellWatch r="G24118"/>
    <cellWatch r="G24119"/>
    <cellWatch r="G24120"/>
    <cellWatch r="G24121"/>
    <cellWatch r="G24122"/>
    <cellWatch r="G24123"/>
    <cellWatch r="G24124"/>
    <cellWatch r="G24125"/>
    <cellWatch r="G24126"/>
    <cellWatch r="G24127"/>
    <cellWatch r="G24128"/>
    <cellWatch r="G24129"/>
    <cellWatch r="G24130"/>
    <cellWatch r="G24131"/>
    <cellWatch r="G24132"/>
    <cellWatch r="G24133"/>
    <cellWatch r="G24134"/>
    <cellWatch r="G24135"/>
    <cellWatch r="G24136"/>
    <cellWatch r="G24137"/>
    <cellWatch r="G24138"/>
    <cellWatch r="G24139"/>
    <cellWatch r="G24140"/>
    <cellWatch r="G24141"/>
    <cellWatch r="G24142"/>
    <cellWatch r="G24143"/>
    <cellWatch r="G24144"/>
    <cellWatch r="G24145"/>
    <cellWatch r="G24146"/>
    <cellWatch r="G24147"/>
    <cellWatch r="G24148"/>
    <cellWatch r="G24149"/>
    <cellWatch r="G24150"/>
    <cellWatch r="G24151"/>
    <cellWatch r="G24152"/>
    <cellWatch r="G24153"/>
    <cellWatch r="G24154"/>
    <cellWatch r="G24155"/>
    <cellWatch r="G24156"/>
    <cellWatch r="G24157"/>
    <cellWatch r="G24158"/>
    <cellWatch r="G24159"/>
    <cellWatch r="G24160"/>
    <cellWatch r="G24161"/>
    <cellWatch r="G24162"/>
    <cellWatch r="G24163"/>
    <cellWatch r="G24164"/>
    <cellWatch r="G24165"/>
    <cellWatch r="G24166"/>
    <cellWatch r="G24167"/>
    <cellWatch r="G24168"/>
    <cellWatch r="G24169"/>
    <cellWatch r="G24170"/>
    <cellWatch r="G24171"/>
    <cellWatch r="G24172"/>
    <cellWatch r="G24173"/>
    <cellWatch r="G24174"/>
    <cellWatch r="G24175"/>
    <cellWatch r="G24176"/>
    <cellWatch r="G24177"/>
    <cellWatch r="G24178"/>
    <cellWatch r="G24179"/>
    <cellWatch r="G24180"/>
    <cellWatch r="G24181"/>
    <cellWatch r="G24182"/>
    <cellWatch r="G24183"/>
    <cellWatch r="G24184"/>
    <cellWatch r="G24185"/>
    <cellWatch r="G24186"/>
    <cellWatch r="G24187"/>
    <cellWatch r="G24188"/>
    <cellWatch r="G24189"/>
    <cellWatch r="G24190"/>
    <cellWatch r="G24191"/>
    <cellWatch r="G24192"/>
    <cellWatch r="G24193"/>
    <cellWatch r="G24194"/>
    <cellWatch r="G24195"/>
    <cellWatch r="G24196"/>
    <cellWatch r="G24197"/>
    <cellWatch r="G24198"/>
    <cellWatch r="G24199"/>
    <cellWatch r="G24200"/>
    <cellWatch r="G24201"/>
    <cellWatch r="G24202"/>
    <cellWatch r="G24203"/>
    <cellWatch r="G24204"/>
    <cellWatch r="G24205"/>
    <cellWatch r="G24206"/>
    <cellWatch r="G24207"/>
    <cellWatch r="G24208"/>
    <cellWatch r="G24209"/>
    <cellWatch r="G24210"/>
    <cellWatch r="G24211"/>
    <cellWatch r="G24212"/>
    <cellWatch r="G24213"/>
    <cellWatch r="G24214"/>
    <cellWatch r="G24215"/>
    <cellWatch r="G24216"/>
    <cellWatch r="G24217"/>
    <cellWatch r="G24218"/>
    <cellWatch r="G24219"/>
    <cellWatch r="G24220"/>
    <cellWatch r="G24221"/>
    <cellWatch r="G24222"/>
    <cellWatch r="G24223"/>
    <cellWatch r="G24224"/>
    <cellWatch r="G24225"/>
    <cellWatch r="G24226"/>
    <cellWatch r="G24227"/>
    <cellWatch r="G24228"/>
    <cellWatch r="G24229"/>
    <cellWatch r="G24230"/>
    <cellWatch r="G24231"/>
    <cellWatch r="G24232"/>
    <cellWatch r="G24233"/>
    <cellWatch r="G24234"/>
    <cellWatch r="G24235"/>
    <cellWatch r="G24236"/>
    <cellWatch r="G24237"/>
    <cellWatch r="G24238"/>
    <cellWatch r="G24239"/>
    <cellWatch r="G24240"/>
    <cellWatch r="G24241"/>
    <cellWatch r="G24242"/>
    <cellWatch r="G24243"/>
    <cellWatch r="G24244"/>
    <cellWatch r="G24245"/>
    <cellWatch r="G24246"/>
    <cellWatch r="G24247"/>
    <cellWatch r="G24248"/>
    <cellWatch r="G24249"/>
    <cellWatch r="G24250"/>
    <cellWatch r="G24251"/>
    <cellWatch r="G24252"/>
    <cellWatch r="G24253"/>
    <cellWatch r="G24254"/>
    <cellWatch r="G24255"/>
    <cellWatch r="G24256"/>
    <cellWatch r="G24257"/>
    <cellWatch r="G24258"/>
    <cellWatch r="G24259"/>
    <cellWatch r="G24260"/>
    <cellWatch r="G24261"/>
    <cellWatch r="G24262"/>
    <cellWatch r="G24263"/>
    <cellWatch r="G24264"/>
    <cellWatch r="G24265"/>
    <cellWatch r="G24266"/>
    <cellWatch r="G24267"/>
    <cellWatch r="G24268"/>
    <cellWatch r="G24269"/>
    <cellWatch r="G24270"/>
    <cellWatch r="G24271"/>
    <cellWatch r="G24272"/>
    <cellWatch r="G24273"/>
    <cellWatch r="G24274"/>
    <cellWatch r="G24275"/>
    <cellWatch r="G24276"/>
    <cellWatch r="G24277"/>
    <cellWatch r="G24278"/>
    <cellWatch r="G24279"/>
    <cellWatch r="G24280"/>
    <cellWatch r="G24281"/>
    <cellWatch r="G24282"/>
    <cellWatch r="G24283"/>
    <cellWatch r="G24284"/>
    <cellWatch r="G24285"/>
    <cellWatch r="G24286"/>
    <cellWatch r="G24287"/>
    <cellWatch r="G24288"/>
    <cellWatch r="G24289"/>
    <cellWatch r="G24290"/>
    <cellWatch r="G24291"/>
    <cellWatch r="G24292"/>
    <cellWatch r="G24293"/>
    <cellWatch r="G24294"/>
    <cellWatch r="G24295"/>
    <cellWatch r="G24296"/>
    <cellWatch r="G24297"/>
    <cellWatch r="G24298"/>
    <cellWatch r="G24299"/>
    <cellWatch r="G24300"/>
    <cellWatch r="G24301"/>
    <cellWatch r="G24302"/>
    <cellWatch r="G24303"/>
    <cellWatch r="G24304"/>
    <cellWatch r="G24305"/>
    <cellWatch r="G24306"/>
    <cellWatch r="G24307"/>
    <cellWatch r="G24308"/>
    <cellWatch r="G24309"/>
    <cellWatch r="G24310"/>
    <cellWatch r="G24311"/>
    <cellWatch r="G24312"/>
    <cellWatch r="G24313"/>
    <cellWatch r="G24314"/>
    <cellWatch r="G24315"/>
    <cellWatch r="G24316"/>
    <cellWatch r="G24317"/>
    <cellWatch r="G24318"/>
    <cellWatch r="G24319"/>
    <cellWatch r="G24320"/>
    <cellWatch r="G24321"/>
    <cellWatch r="G24322"/>
    <cellWatch r="G24323"/>
    <cellWatch r="G24324"/>
    <cellWatch r="G24325"/>
    <cellWatch r="G24326"/>
    <cellWatch r="G24327"/>
    <cellWatch r="G24328"/>
    <cellWatch r="G24329"/>
    <cellWatch r="G24330"/>
    <cellWatch r="G24331"/>
    <cellWatch r="G24332"/>
    <cellWatch r="G24333"/>
    <cellWatch r="G24334"/>
    <cellWatch r="G24335"/>
    <cellWatch r="G24336"/>
    <cellWatch r="G24337"/>
    <cellWatch r="G24338"/>
    <cellWatch r="G24339"/>
    <cellWatch r="G24340"/>
    <cellWatch r="G24341"/>
    <cellWatch r="G24342"/>
    <cellWatch r="G24343"/>
    <cellWatch r="G24344"/>
    <cellWatch r="G24345"/>
    <cellWatch r="G24346"/>
    <cellWatch r="G24347"/>
    <cellWatch r="G24348"/>
    <cellWatch r="G24349"/>
    <cellWatch r="G24350"/>
    <cellWatch r="G24351"/>
    <cellWatch r="G24352"/>
    <cellWatch r="G24353"/>
    <cellWatch r="G24354"/>
    <cellWatch r="G24355"/>
    <cellWatch r="G24356"/>
    <cellWatch r="G24357"/>
    <cellWatch r="G24358"/>
    <cellWatch r="G24359"/>
    <cellWatch r="G24360"/>
    <cellWatch r="G24361"/>
    <cellWatch r="G24362"/>
    <cellWatch r="G24363"/>
    <cellWatch r="G24364"/>
    <cellWatch r="G24365"/>
    <cellWatch r="G24366"/>
    <cellWatch r="G24367"/>
    <cellWatch r="G24368"/>
    <cellWatch r="G24369"/>
    <cellWatch r="G24370"/>
    <cellWatch r="G24371"/>
    <cellWatch r="G24372"/>
    <cellWatch r="G24373"/>
    <cellWatch r="G24374"/>
    <cellWatch r="G24375"/>
    <cellWatch r="G24376"/>
    <cellWatch r="G24377"/>
    <cellWatch r="G24378"/>
    <cellWatch r="G24379"/>
    <cellWatch r="G24380"/>
    <cellWatch r="G24381"/>
    <cellWatch r="G24382"/>
    <cellWatch r="G24383"/>
    <cellWatch r="G24384"/>
    <cellWatch r="G24385"/>
    <cellWatch r="G24386"/>
    <cellWatch r="G24387"/>
    <cellWatch r="G24388"/>
    <cellWatch r="G24389"/>
    <cellWatch r="G24390"/>
    <cellWatch r="G24391"/>
    <cellWatch r="G24392"/>
    <cellWatch r="G24393"/>
    <cellWatch r="G24394"/>
    <cellWatch r="G24395"/>
    <cellWatch r="G24396"/>
    <cellWatch r="G24397"/>
    <cellWatch r="G24398"/>
    <cellWatch r="G24399"/>
    <cellWatch r="G24400"/>
    <cellWatch r="G24401"/>
    <cellWatch r="G24402"/>
    <cellWatch r="G24403"/>
    <cellWatch r="G24404"/>
    <cellWatch r="G24405"/>
    <cellWatch r="G24406"/>
    <cellWatch r="G24407"/>
    <cellWatch r="G24408"/>
    <cellWatch r="G24409"/>
    <cellWatch r="G24410"/>
    <cellWatch r="G24411"/>
    <cellWatch r="G24412"/>
    <cellWatch r="G24413"/>
    <cellWatch r="G24414"/>
    <cellWatch r="G24415"/>
    <cellWatch r="G24416"/>
    <cellWatch r="G24417"/>
    <cellWatch r="G24418"/>
    <cellWatch r="G24419"/>
    <cellWatch r="G24420"/>
    <cellWatch r="G24421"/>
    <cellWatch r="G24422"/>
    <cellWatch r="G24423"/>
    <cellWatch r="G24424"/>
    <cellWatch r="G24425"/>
    <cellWatch r="G24426"/>
    <cellWatch r="G24427"/>
    <cellWatch r="G24428"/>
    <cellWatch r="G24429"/>
    <cellWatch r="G24430"/>
    <cellWatch r="G24431"/>
    <cellWatch r="G24432"/>
    <cellWatch r="G24433"/>
    <cellWatch r="G24434"/>
    <cellWatch r="G24435"/>
    <cellWatch r="G24436"/>
    <cellWatch r="G24437"/>
    <cellWatch r="G24438"/>
    <cellWatch r="G24439"/>
    <cellWatch r="G24440"/>
    <cellWatch r="G24441"/>
    <cellWatch r="G24442"/>
    <cellWatch r="G24443"/>
    <cellWatch r="G24444"/>
    <cellWatch r="G24445"/>
    <cellWatch r="G24446"/>
    <cellWatch r="G24447"/>
    <cellWatch r="G24448"/>
    <cellWatch r="G24449"/>
    <cellWatch r="G24450"/>
    <cellWatch r="G24451"/>
    <cellWatch r="G24452"/>
    <cellWatch r="G24453"/>
    <cellWatch r="G24454"/>
    <cellWatch r="G24455"/>
    <cellWatch r="G24456"/>
    <cellWatch r="G24457"/>
    <cellWatch r="G24458"/>
    <cellWatch r="G24459"/>
    <cellWatch r="G24460"/>
    <cellWatch r="G24461"/>
    <cellWatch r="G24462"/>
    <cellWatch r="G24463"/>
    <cellWatch r="G24464"/>
    <cellWatch r="G24465"/>
    <cellWatch r="G24466"/>
    <cellWatch r="G24467"/>
    <cellWatch r="G24468"/>
    <cellWatch r="G24469"/>
    <cellWatch r="G24470"/>
    <cellWatch r="G24471"/>
    <cellWatch r="G24472"/>
    <cellWatch r="G24473"/>
    <cellWatch r="G24474"/>
    <cellWatch r="G24475"/>
    <cellWatch r="G24476"/>
    <cellWatch r="G24477"/>
    <cellWatch r="G24478"/>
    <cellWatch r="G24479"/>
    <cellWatch r="G24480"/>
    <cellWatch r="G24481"/>
    <cellWatch r="G24482"/>
    <cellWatch r="G24483"/>
    <cellWatch r="G24484"/>
    <cellWatch r="G24485"/>
    <cellWatch r="G24486"/>
    <cellWatch r="G24487"/>
    <cellWatch r="G24488"/>
    <cellWatch r="G24489"/>
    <cellWatch r="G24490"/>
    <cellWatch r="G24491"/>
    <cellWatch r="G24492"/>
    <cellWatch r="G24493"/>
    <cellWatch r="G24494"/>
    <cellWatch r="G24495"/>
    <cellWatch r="G24496"/>
    <cellWatch r="G24497"/>
    <cellWatch r="G24498"/>
    <cellWatch r="G24499"/>
    <cellWatch r="G24500"/>
    <cellWatch r="G24501"/>
    <cellWatch r="G24502"/>
    <cellWatch r="G24503"/>
    <cellWatch r="G24504"/>
    <cellWatch r="G24505"/>
    <cellWatch r="G24506"/>
    <cellWatch r="G24507"/>
    <cellWatch r="G24508"/>
    <cellWatch r="G24509"/>
    <cellWatch r="G24510"/>
    <cellWatch r="G24511"/>
    <cellWatch r="G24512"/>
    <cellWatch r="G24513"/>
    <cellWatch r="G24514"/>
    <cellWatch r="G24515"/>
    <cellWatch r="G24516"/>
    <cellWatch r="G24517"/>
    <cellWatch r="G24518"/>
    <cellWatch r="G24519"/>
    <cellWatch r="G24520"/>
    <cellWatch r="G24521"/>
    <cellWatch r="G24522"/>
    <cellWatch r="G24523"/>
    <cellWatch r="G24524"/>
    <cellWatch r="G24525"/>
    <cellWatch r="G24526"/>
    <cellWatch r="G24527"/>
    <cellWatch r="G24528"/>
    <cellWatch r="G24529"/>
    <cellWatch r="G24530"/>
    <cellWatch r="G24531"/>
    <cellWatch r="G24532"/>
    <cellWatch r="G24533"/>
    <cellWatch r="G24534"/>
    <cellWatch r="G24535"/>
    <cellWatch r="G24536"/>
    <cellWatch r="G24537"/>
    <cellWatch r="G24538"/>
    <cellWatch r="G24539"/>
    <cellWatch r="G24540"/>
    <cellWatch r="G24541"/>
    <cellWatch r="G24542"/>
    <cellWatch r="G24543"/>
    <cellWatch r="G24544"/>
    <cellWatch r="G24545"/>
    <cellWatch r="G24546"/>
    <cellWatch r="G24547"/>
    <cellWatch r="G24548"/>
    <cellWatch r="G24549"/>
    <cellWatch r="G24550"/>
    <cellWatch r="G24551"/>
    <cellWatch r="G24552"/>
    <cellWatch r="G24553"/>
    <cellWatch r="G24554"/>
    <cellWatch r="G24555"/>
    <cellWatch r="G24556"/>
    <cellWatch r="G24557"/>
    <cellWatch r="G24558"/>
    <cellWatch r="G24559"/>
    <cellWatch r="G24560"/>
    <cellWatch r="G24561"/>
    <cellWatch r="G24562"/>
    <cellWatch r="G24563"/>
    <cellWatch r="G24564"/>
    <cellWatch r="G24565"/>
    <cellWatch r="G24566"/>
    <cellWatch r="G24567"/>
    <cellWatch r="G24568"/>
    <cellWatch r="G24569"/>
    <cellWatch r="G24570"/>
    <cellWatch r="G24571"/>
    <cellWatch r="G24572"/>
    <cellWatch r="G24573"/>
    <cellWatch r="G24574"/>
    <cellWatch r="G24575"/>
    <cellWatch r="G24576"/>
    <cellWatch r="G24577"/>
    <cellWatch r="G24578"/>
    <cellWatch r="G24579"/>
    <cellWatch r="G24580"/>
    <cellWatch r="G24581"/>
    <cellWatch r="G24582"/>
    <cellWatch r="G24583"/>
    <cellWatch r="G24584"/>
    <cellWatch r="G24585"/>
    <cellWatch r="G24586"/>
    <cellWatch r="G24587"/>
    <cellWatch r="G24588"/>
    <cellWatch r="G24589"/>
    <cellWatch r="G24590"/>
    <cellWatch r="G24591"/>
    <cellWatch r="G24592"/>
    <cellWatch r="G24593"/>
    <cellWatch r="G24594"/>
    <cellWatch r="G24595"/>
    <cellWatch r="G24596"/>
    <cellWatch r="G24597"/>
    <cellWatch r="G24598"/>
    <cellWatch r="G24599"/>
    <cellWatch r="G24600"/>
    <cellWatch r="G24601"/>
    <cellWatch r="G24602"/>
    <cellWatch r="G24603"/>
    <cellWatch r="G24604"/>
    <cellWatch r="G24605"/>
    <cellWatch r="G24606"/>
    <cellWatch r="G24607"/>
    <cellWatch r="G24608"/>
    <cellWatch r="G24609"/>
    <cellWatch r="G24610"/>
    <cellWatch r="G24611"/>
    <cellWatch r="G24612"/>
    <cellWatch r="G24613"/>
    <cellWatch r="G24614"/>
    <cellWatch r="G24615"/>
    <cellWatch r="G24616"/>
    <cellWatch r="G24617"/>
    <cellWatch r="G24618"/>
    <cellWatch r="G24619"/>
    <cellWatch r="G24620"/>
    <cellWatch r="G24621"/>
    <cellWatch r="G24622"/>
    <cellWatch r="G24623"/>
    <cellWatch r="G24624"/>
    <cellWatch r="G24625"/>
    <cellWatch r="G24626"/>
    <cellWatch r="G24627"/>
    <cellWatch r="G24628"/>
    <cellWatch r="G24629"/>
    <cellWatch r="G24630"/>
    <cellWatch r="G24631"/>
    <cellWatch r="G24632"/>
    <cellWatch r="G24633"/>
    <cellWatch r="G24634"/>
    <cellWatch r="G24635"/>
    <cellWatch r="G24636"/>
    <cellWatch r="G24637"/>
    <cellWatch r="G24638"/>
    <cellWatch r="G24639"/>
    <cellWatch r="G24640"/>
    <cellWatch r="G24641"/>
    <cellWatch r="G24642"/>
    <cellWatch r="G24643"/>
    <cellWatch r="G24644"/>
    <cellWatch r="G24645"/>
    <cellWatch r="G24646"/>
    <cellWatch r="G24647"/>
    <cellWatch r="G24648"/>
    <cellWatch r="G24649"/>
    <cellWatch r="G24650"/>
    <cellWatch r="G24651"/>
    <cellWatch r="G24652"/>
    <cellWatch r="G24653"/>
    <cellWatch r="G24654"/>
    <cellWatch r="G24655"/>
    <cellWatch r="G24656"/>
    <cellWatch r="G24657"/>
    <cellWatch r="G24658"/>
    <cellWatch r="G24659"/>
    <cellWatch r="G24660"/>
    <cellWatch r="G24661"/>
    <cellWatch r="G24662"/>
    <cellWatch r="G24663"/>
    <cellWatch r="G24664"/>
    <cellWatch r="G24665"/>
    <cellWatch r="G24666"/>
    <cellWatch r="G24667"/>
    <cellWatch r="G24668"/>
    <cellWatch r="G24669"/>
    <cellWatch r="G24670"/>
    <cellWatch r="G24671"/>
    <cellWatch r="G24672"/>
    <cellWatch r="G24673"/>
    <cellWatch r="G24674"/>
    <cellWatch r="G24675"/>
    <cellWatch r="G24676"/>
    <cellWatch r="G24677"/>
    <cellWatch r="G24678"/>
    <cellWatch r="G24679"/>
    <cellWatch r="G24680"/>
    <cellWatch r="G24681"/>
    <cellWatch r="G24682"/>
    <cellWatch r="G24683"/>
    <cellWatch r="G24684"/>
    <cellWatch r="G24685"/>
    <cellWatch r="G24686"/>
    <cellWatch r="G24687"/>
    <cellWatch r="G24688"/>
    <cellWatch r="G24689"/>
    <cellWatch r="G24690"/>
    <cellWatch r="G24691"/>
    <cellWatch r="G24692"/>
    <cellWatch r="G24693"/>
    <cellWatch r="G24694"/>
    <cellWatch r="G24695"/>
    <cellWatch r="G24696"/>
    <cellWatch r="G24697"/>
    <cellWatch r="G24698"/>
    <cellWatch r="G24699"/>
    <cellWatch r="G24700"/>
    <cellWatch r="G24701"/>
    <cellWatch r="G24702"/>
    <cellWatch r="G24703"/>
    <cellWatch r="G24704"/>
    <cellWatch r="G24705"/>
    <cellWatch r="G24706"/>
    <cellWatch r="G24707"/>
    <cellWatch r="G24708"/>
    <cellWatch r="G24709"/>
    <cellWatch r="G24710"/>
    <cellWatch r="G24711"/>
    <cellWatch r="G24712"/>
    <cellWatch r="G24713"/>
    <cellWatch r="G24714"/>
    <cellWatch r="G24715"/>
    <cellWatch r="G24716"/>
    <cellWatch r="G24717"/>
    <cellWatch r="G24718"/>
    <cellWatch r="G24719"/>
    <cellWatch r="G24720"/>
    <cellWatch r="G24721"/>
    <cellWatch r="G24722"/>
    <cellWatch r="G24723"/>
    <cellWatch r="G24724"/>
    <cellWatch r="G24725"/>
    <cellWatch r="G24726"/>
    <cellWatch r="G24727"/>
    <cellWatch r="G24728"/>
    <cellWatch r="G24729"/>
    <cellWatch r="G24730"/>
    <cellWatch r="G24731"/>
    <cellWatch r="G24732"/>
    <cellWatch r="G24733"/>
    <cellWatch r="G24734"/>
    <cellWatch r="G24735"/>
    <cellWatch r="G24736"/>
    <cellWatch r="G24737"/>
    <cellWatch r="G24738"/>
    <cellWatch r="G24739"/>
    <cellWatch r="G24740"/>
    <cellWatch r="G24741"/>
    <cellWatch r="G24742"/>
    <cellWatch r="G24743"/>
    <cellWatch r="G24744"/>
    <cellWatch r="G24745"/>
    <cellWatch r="G24746"/>
    <cellWatch r="G24747"/>
    <cellWatch r="G24748"/>
    <cellWatch r="G24749"/>
    <cellWatch r="G24750"/>
    <cellWatch r="G24751"/>
    <cellWatch r="G24752"/>
    <cellWatch r="G24753"/>
    <cellWatch r="G24754"/>
    <cellWatch r="G24755"/>
    <cellWatch r="G24756"/>
    <cellWatch r="G24757"/>
    <cellWatch r="G24758"/>
    <cellWatch r="G24759"/>
    <cellWatch r="G24760"/>
    <cellWatch r="G24761"/>
    <cellWatch r="G24762"/>
    <cellWatch r="G24763"/>
    <cellWatch r="G24764"/>
    <cellWatch r="G24765"/>
    <cellWatch r="G24766"/>
    <cellWatch r="G24767"/>
    <cellWatch r="G24768"/>
    <cellWatch r="G24769"/>
    <cellWatch r="G24770"/>
    <cellWatch r="G24771"/>
    <cellWatch r="G24772"/>
    <cellWatch r="G24773"/>
    <cellWatch r="G24774"/>
    <cellWatch r="G24775"/>
    <cellWatch r="G24776"/>
    <cellWatch r="G24777"/>
    <cellWatch r="G24778"/>
    <cellWatch r="G24779"/>
    <cellWatch r="G24780"/>
    <cellWatch r="G24781"/>
    <cellWatch r="G24782"/>
    <cellWatch r="G24783"/>
    <cellWatch r="G24784"/>
    <cellWatch r="G24785"/>
    <cellWatch r="G24786"/>
    <cellWatch r="G24787"/>
    <cellWatch r="G24788"/>
    <cellWatch r="G24789"/>
    <cellWatch r="G24790"/>
    <cellWatch r="G24791"/>
    <cellWatch r="G24792"/>
    <cellWatch r="G24793"/>
    <cellWatch r="G24794"/>
    <cellWatch r="G24795"/>
    <cellWatch r="G24796"/>
    <cellWatch r="G24797"/>
    <cellWatch r="G24798"/>
    <cellWatch r="G24799"/>
    <cellWatch r="G24800"/>
    <cellWatch r="G24801"/>
    <cellWatch r="G24802"/>
    <cellWatch r="G24803"/>
    <cellWatch r="G24804"/>
    <cellWatch r="G24805"/>
    <cellWatch r="G24806"/>
    <cellWatch r="G24807"/>
    <cellWatch r="G24808"/>
    <cellWatch r="G24809"/>
    <cellWatch r="G24810"/>
    <cellWatch r="G24811"/>
    <cellWatch r="G24812"/>
    <cellWatch r="G24813"/>
    <cellWatch r="G24814"/>
    <cellWatch r="G24815"/>
    <cellWatch r="G24816"/>
    <cellWatch r="G24817"/>
    <cellWatch r="G24818"/>
    <cellWatch r="G24819"/>
    <cellWatch r="G24820"/>
    <cellWatch r="G24821"/>
    <cellWatch r="G24822"/>
    <cellWatch r="G24823"/>
    <cellWatch r="G24824"/>
    <cellWatch r="G24825"/>
    <cellWatch r="G24826"/>
    <cellWatch r="G24827"/>
    <cellWatch r="G24828"/>
    <cellWatch r="G24829"/>
    <cellWatch r="G24830"/>
    <cellWatch r="G24831"/>
    <cellWatch r="G24832"/>
    <cellWatch r="G24833"/>
    <cellWatch r="G24834"/>
    <cellWatch r="G24835"/>
    <cellWatch r="G24836"/>
    <cellWatch r="G24837"/>
    <cellWatch r="G24838"/>
    <cellWatch r="G24839"/>
    <cellWatch r="G24840"/>
    <cellWatch r="G24841"/>
    <cellWatch r="G24842"/>
    <cellWatch r="G24843"/>
    <cellWatch r="G24844"/>
    <cellWatch r="G24845"/>
    <cellWatch r="G24846"/>
    <cellWatch r="G24847"/>
    <cellWatch r="G24848"/>
    <cellWatch r="G24849"/>
    <cellWatch r="G24850"/>
    <cellWatch r="G24851"/>
    <cellWatch r="G24852"/>
    <cellWatch r="G24853"/>
    <cellWatch r="G24854"/>
    <cellWatch r="G24855"/>
    <cellWatch r="G24856"/>
    <cellWatch r="G24857"/>
    <cellWatch r="G24858"/>
    <cellWatch r="G24859"/>
    <cellWatch r="G24860"/>
    <cellWatch r="G24861"/>
    <cellWatch r="G24862"/>
    <cellWatch r="G24863"/>
    <cellWatch r="G24864"/>
    <cellWatch r="G24865"/>
    <cellWatch r="G24866"/>
    <cellWatch r="G24867"/>
    <cellWatch r="G24868"/>
    <cellWatch r="G24869"/>
    <cellWatch r="G24870"/>
    <cellWatch r="G24871"/>
    <cellWatch r="G24872"/>
    <cellWatch r="G24873"/>
    <cellWatch r="G24874"/>
    <cellWatch r="G24875"/>
    <cellWatch r="G24876"/>
    <cellWatch r="G24877"/>
    <cellWatch r="G24878"/>
    <cellWatch r="G24879"/>
    <cellWatch r="G24880"/>
    <cellWatch r="G24881"/>
    <cellWatch r="G24882"/>
    <cellWatch r="G24883"/>
    <cellWatch r="G24884"/>
    <cellWatch r="G24885"/>
    <cellWatch r="G24886"/>
    <cellWatch r="G24887"/>
    <cellWatch r="G24888"/>
    <cellWatch r="G24889"/>
    <cellWatch r="G24890"/>
    <cellWatch r="G24891"/>
    <cellWatch r="G24892"/>
    <cellWatch r="G24893"/>
    <cellWatch r="G24894"/>
    <cellWatch r="G24895"/>
    <cellWatch r="G24896"/>
    <cellWatch r="G24897"/>
    <cellWatch r="G24898"/>
    <cellWatch r="G24899"/>
    <cellWatch r="G24900"/>
    <cellWatch r="G24901"/>
    <cellWatch r="G24902"/>
    <cellWatch r="G24903"/>
    <cellWatch r="G24904"/>
    <cellWatch r="G24905"/>
    <cellWatch r="G24906"/>
    <cellWatch r="G24907"/>
    <cellWatch r="G24908"/>
    <cellWatch r="G24909"/>
    <cellWatch r="G24910"/>
    <cellWatch r="G24911"/>
    <cellWatch r="G24912"/>
    <cellWatch r="G24913"/>
    <cellWatch r="G24914"/>
    <cellWatch r="G24915"/>
    <cellWatch r="G24916"/>
    <cellWatch r="G24917"/>
    <cellWatch r="G24918"/>
    <cellWatch r="G24919"/>
    <cellWatch r="G24920"/>
    <cellWatch r="G24921"/>
    <cellWatch r="G24922"/>
    <cellWatch r="G24923"/>
    <cellWatch r="G24924"/>
    <cellWatch r="G24925"/>
    <cellWatch r="G24926"/>
    <cellWatch r="G24927"/>
    <cellWatch r="G24928"/>
    <cellWatch r="G24929"/>
    <cellWatch r="G24930"/>
    <cellWatch r="G24931"/>
    <cellWatch r="G24932"/>
    <cellWatch r="G24933"/>
    <cellWatch r="G24934"/>
    <cellWatch r="G24935"/>
    <cellWatch r="G24936"/>
    <cellWatch r="G24937"/>
    <cellWatch r="G24938"/>
    <cellWatch r="G24939"/>
    <cellWatch r="G24940"/>
    <cellWatch r="G24941"/>
    <cellWatch r="G24942"/>
    <cellWatch r="G24943"/>
    <cellWatch r="G24944"/>
    <cellWatch r="G24945"/>
    <cellWatch r="G24946"/>
    <cellWatch r="G24947"/>
    <cellWatch r="G24948"/>
    <cellWatch r="G24949"/>
    <cellWatch r="G24950"/>
    <cellWatch r="G24951"/>
    <cellWatch r="G24952"/>
    <cellWatch r="G24953"/>
    <cellWatch r="G24954"/>
    <cellWatch r="G24955"/>
    <cellWatch r="G24956"/>
    <cellWatch r="G24957"/>
    <cellWatch r="G24958"/>
    <cellWatch r="G24959"/>
    <cellWatch r="G24960"/>
    <cellWatch r="G24961"/>
    <cellWatch r="G24962"/>
    <cellWatch r="G24963"/>
    <cellWatch r="G24964"/>
    <cellWatch r="G24965"/>
    <cellWatch r="G24966"/>
    <cellWatch r="G24967"/>
    <cellWatch r="G24968"/>
    <cellWatch r="G24969"/>
    <cellWatch r="G24970"/>
    <cellWatch r="G24971"/>
    <cellWatch r="G24972"/>
    <cellWatch r="G24973"/>
    <cellWatch r="G24974"/>
    <cellWatch r="G24975"/>
    <cellWatch r="G24976"/>
    <cellWatch r="G24977"/>
    <cellWatch r="G24978"/>
    <cellWatch r="G24979"/>
    <cellWatch r="G24980"/>
    <cellWatch r="G24981"/>
    <cellWatch r="G24982"/>
    <cellWatch r="G24983"/>
    <cellWatch r="G24984"/>
    <cellWatch r="G24985"/>
    <cellWatch r="G24986"/>
    <cellWatch r="G24987"/>
    <cellWatch r="G24988"/>
    <cellWatch r="G24989"/>
    <cellWatch r="G24990"/>
    <cellWatch r="G24991"/>
    <cellWatch r="G24992"/>
    <cellWatch r="G24993"/>
    <cellWatch r="G24994"/>
    <cellWatch r="G24995"/>
    <cellWatch r="G24996"/>
    <cellWatch r="G24997"/>
    <cellWatch r="G24998"/>
    <cellWatch r="G24999"/>
    <cellWatch r="G25000"/>
    <cellWatch r="G25001"/>
    <cellWatch r="G25002"/>
    <cellWatch r="G25003"/>
    <cellWatch r="G25004"/>
    <cellWatch r="G25005"/>
    <cellWatch r="G25006"/>
    <cellWatch r="G25007"/>
    <cellWatch r="G25008"/>
    <cellWatch r="G25009"/>
    <cellWatch r="G25010"/>
    <cellWatch r="G25011"/>
    <cellWatch r="G25012"/>
    <cellWatch r="G25013"/>
    <cellWatch r="G25014"/>
    <cellWatch r="G25015"/>
    <cellWatch r="G25016"/>
    <cellWatch r="G25017"/>
    <cellWatch r="G25018"/>
    <cellWatch r="G25019"/>
    <cellWatch r="G25020"/>
    <cellWatch r="G25021"/>
    <cellWatch r="G25022"/>
    <cellWatch r="G25023"/>
    <cellWatch r="G25024"/>
    <cellWatch r="G25025"/>
    <cellWatch r="G25026"/>
    <cellWatch r="G25027"/>
    <cellWatch r="G25028"/>
    <cellWatch r="G25029"/>
    <cellWatch r="G25030"/>
    <cellWatch r="G25031"/>
    <cellWatch r="G25032"/>
    <cellWatch r="G25033"/>
    <cellWatch r="G25034"/>
    <cellWatch r="G25035"/>
    <cellWatch r="G25036"/>
    <cellWatch r="G25037"/>
    <cellWatch r="G25038"/>
    <cellWatch r="G25039"/>
    <cellWatch r="G25040"/>
    <cellWatch r="G25041"/>
    <cellWatch r="G25042"/>
    <cellWatch r="G25043"/>
    <cellWatch r="G25044"/>
    <cellWatch r="G25045"/>
    <cellWatch r="G25046"/>
    <cellWatch r="G25047"/>
    <cellWatch r="G25048"/>
    <cellWatch r="G25049"/>
    <cellWatch r="G25050"/>
    <cellWatch r="G25051"/>
    <cellWatch r="G25052"/>
    <cellWatch r="G25053"/>
    <cellWatch r="G25054"/>
    <cellWatch r="G25055"/>
    <cellWatch r="G25056"/>
    <cellWatch r="G25057"/>
    <cellWatch r="G25058"/>
    <cellWatch r="G25059"/>
    <cellWatch r="G25060"/>
    <cellWatch r="G25061"/>
    <cellWatch r="G25062"/>
    <cellWatch r="G25063"/>
    <cellWatch r="G25064"/>
    <cellWatch r="G25065"/>
    <cellWatch r="G25066"/>
    <cellWatch r="G25067"/>
    <cellWatch r="G25068"/>
    <cellWatch r="G25069"/>
    <cellWatch r="G25070"/>
    <cellWatch r="G25071"/>
    <cellWatch r="G25072"/>
    <cellWatch r="G25073"/>
    <cellWatch r="G25074"/>
    <cellWatch r="G25075"/>
    <cellWatch r="G25076"/>
    <cellWatch r="G25077"/>
    <cellWatch r="G25078"/>
    <cellWatch r="G25079"/>
    <cellWatch r="G25080"/>
    <cellWatch r="G25081"/>
    <cellWatch r="G25082"/>
    <cellWatch r="G25083"/>
    <cellWatch r="G25084"/>
    <cellWatch r="G25085"/>
    <cellWatch r="G25086"/>
    <cellWatch r="G25087"/>
    <cellWatch r="G25088"/>
    <cellWatch r="G25089"/>
    <cellWatch r="G25090"/>
    <cellWatch r="G25091"/>
    <cellWatch r="G25092"/>
    <cellWatch r="G25093"/>
    <cellWatch r="G25094"/>
    <cellWatch r="G25095"/>
    <cellWatch r="G25096"/>
    <cellWatch r="G25097"/>
    <cellWatch r="G25098"/>
    <cellWatch r="G25099"/>
    <cellWatch r="G25100"/>
    <cellWatch r="G25101"/>
    <cellWatch r="G25102"/>
    <cellWatch r="G25103"/>
    <cellWatch r="G25104"/>
    <cellWatch r="G25105"/>
    <cellWatch r="G25106"/>
    <cellWatch r="G25107"/>
    <cellWatch r="G25108"/>
    <cellWatch r="G25109"/>
    <cellWatch r="G25110"/>
    <cellWatch r="G25111"/>
    <cellWatch r="G25112"/>
    <cellWatch r="G25113"/>
    <cellWatch r="G25114"/>
    <cellWatch r="G25115"/>
    <cellWatch r="G25116"/>
    <cellWatch r="G25117"/>
    <cellWatch r="G25118"/>
    <cellWatch r="G25119"/>
    <cellWatch r="G25120"/>
    <cellWatch r="G25121"/>
    <cellWatch r="G25122"/>
    <cellWatch r="G25123"/>
    <cellWatch r="G25124"/>
    <cellWatch r="G25125"/>
    <cellWatch r="G25126"/>
    <cellWatch r="G25127"/>
    <cellWatch r="G25128"/>
    <cellWatch r="G25129"/>
    <cellWatch r="G25130"/>
    <cellWatch r="G25131"/>
    <cellWatch r="G25132"/>
    <cellWatch r="G25133"/>
    <cellWatch r="G25134"/>
    <cellWatch r="G25135"/>
    <cellWatch r="G25136"/>
    <cellWatch r="G25137"/>
    <cellWatch r="G25138"/>
    <cellWatch r="G25139"/>
    <cellWatch r="G25140"/>
    <cellWatch r="G25141"/>
    <cellWatch r="G25142"/>
    <cellWatch r="G25143"/>
    <cellWatch r="G25144"/>
    <cellWatch r="G25145"/>
    <cellWatch r="G25146"/>
    <cellWatch r="G25147"/>
    <cellWatch r="G25148"/>
    <cellWatch r="G25149"/>
    <cellWatch r="G25150"/>
    <cellWatch r="G25151"/>
    <cellWatch r="G25152"/>
    <cellWatch r="G25153"/>
    <cellWatch r="G25154"/>
    <cellWatch r="G25155"/>
    <cellWatch r="G25156"/>
    <cellWatch r="G25157"/>
    <cellWatch r="G25158"/>
    <cellWatch r="G25159"/>
    <cellWatch r="G25160"/>
    <cellWatch r="G25161"/>
    <cellWatch r="G25162"/>
    <cellWatch r="G25163"/>
    <cellWatch r="G25164"/>
    <cellWatch r="G25165"/>
    <cellWatch r="G25166"/>
    <cellWatch r="G25167"/>
    <cellWatch r="G25168"/>
    <cellWatch r="G25169"/>
    <cellWatch r="G25170"/>
    <cellWatch r="G25171"/>
    <cellWatch r="G25172"/>
    <cellWatch r="G25173"/>
    <cellWatch r="G25174"/>
    <cellWatch r="G25175"/>
    <cellWatch r="G25176"/>
    <cellWatch r="G25177"/>
    <cellWatch r="G25178"/>
    <cellWatch r="G25179"/>
    <cellWatch r="G25180"/>
    <cellWatch r="G25181"/>
    <cellWatch r="G25182"/>
    <cellWatch r="G25183"/>
    <cellWatch r="G25184"/>
    <cellWatch r="G25185"/>
    <cellWatch r="G25186"/>
    <cellWatch r="G25187"/>
    <cellWatch r="G25188"/>
    <cellWatch r="G25189"/>
    <cellWatch r="G25190"/>
    <cellWatch r="G25191"/>
    <cellWatch r="G25192"/>
    <cellWatch r="G25193"/>
    <cellWatch r="G25194"/>
    <cellWatch r="G25195"/>
    <cellWatch r="G25196"/>
    <cellWatch r="G25197"/>
    <cellWatch r="G25198"/>
    <cellWatch r="G25199"/>
    <cellWatch r="G25200"/>
    <cellWatch r="G25201"/>
    <cellWatch r="G25202"/>
    <cellWatch r="G25203"/>
    <cellWatch r="G25204"/>
    <cellWatch r="G25205"/>
    <cellWatch r="G25206"/>
    <cellWatch r="G25207"/>
    <cellWatch r="G25208"/>
    <cellWatch r="G25209"/>
    <cellWatch r="G25210"/>
    <cellWatch r="G25211"/>
    <cellWatch r="G25212"/>
    <cellWatch r="G25213"/>
    <cellWatch r="G25214"/>
    <cellWatch r="G25215"/>
    <cellWatch r="G25216"/>
    <cellWatch r="G25217"/>
    <cellWatch r="G25218"/>
    <cellWatch r="G25219"/>
    <cellWatch r="G25220"/>
    <cellWatch r="G25221"/>
    <cellWatch r="G25222"/>
    <cellWatch r="G25223"/>
    <cellWatch r="G25224"/>
    <cellWatch r="G25225"/>
    <cellWatch r="G25226"/>
    <cellWatch r="G25227"/>
    <cellWatch r="G25228"/>
    <cellWatch r="G25229"/>
    <cellWatch r="G25230"/>
    <cellWatch r="G25231"/>
    <cellWatch r="G25232"/>
    <cellWatch r="G25233"/>
    <cellWatch r="G25234"/>
    <cellWatch r="G25235"/>
    <cellWatch r="G25236"/>
    <cellWatch r="G25237"/>
    <cellWatch r="G25238"/>
    <cellWatch r="G25239"/>
    <cellWatch r="G25240"/>
    <cellWatch r="G25241"/>
    <cellWatch r="G25242"/>
    <cellWatch r="G25243"/>
    <cellWatch r="G25244"/>
    <cellWatch r="G25245"/>
    <cellWatch r="G25246"/>
    <cellWatch r="G25247"/>
    <cellWatch r="G25248"/>
    <cellWatch r="G25249"/>
    <cellWatch r="G25250"/>
    <cellWatch r="G25251"/>
    <cellWatch r="G25252"/>
    <cellWatch r="G25253"/>
    <cellWatch r="G25254"/>
    <cellWatch r="G25255"/>
    <cellWatch r="G25256"/>
    <cellWatch r="G25257"/>
    <cellWatch r="G25258"/>
    <cellWatch r="G25259"/>
    <cellWatch r="G25260"/>
    <cellWatch r="G25261"/>
    <cellWatch r="G25262"/>
    <cellWatch r="G25263"/>
    <cellWatch r="G25264"/>
    <cellWatch r="G25265"/>
    <cellWatch r="G25266"/>
    <cellWatch r="G25267"/>
    <cellWatch r="G25268"/>
    <cellWatch r="G25269"/>
    <cellWatch r="G25270"/>
    <cellWatch r="G25271"/>
    <cellWatch r="G25272"/>
    <cellWatch r="G25273"/>
    <cellWatch r="G25274"/>
    <cellWatch r="G25275"/>
    <cellWatch r="G25276"/>
    <cellWatch r="G25277"/>
    <cellWatch r="G25278"/>
    <cellWatch r="G25279"/>
    <cellWatch r="G25280"/>
    <cellWatch r="G25281"/>
    <cellWatch r="G25282"/>
    <cellWatch r="G25283"/>
    <cellWatch r="G25284"/>
    <cellWatch r="G25285"/>
    <cellWatch r="G25286"/>
    <cellWatch r="G25287"/>
    <cellWatch r="G25288"/>
    <cellWatch r="G25289"/>
    <cellWatch r="G25290"/>
    <cellWatch r="G25291"/>
    <cellWatch r="G25292"/>
    <cellWatch r="G25293"/>
    <cellWatch r="G25294"/>
    <cellWatch r="G25295"/>
    <cellWatch r="G25296"/>
    <cellWatch r="G25297"/>
    <cellWatch r="G25298"/>
    <cellWatch r="G25299"/>
    <cellWatch r="G25300"/>
    <cellWatch r="G25301"/>
    <cellWatch r="G25302"/>
    <cellWatch r="G25303"/>
    <cellWatch r="G25304"/>
    <cellWatch r="G25305"/>
    <cellWatch r="G25306"/>
    <cellWatch r="G25307"/>
    <cellWatch r="G25308"/>
    <cellWatch r="G25309"/>
    <cellWatch r="G25310"/>
    <cellWatch r="G25311"/>
    <cellWatch r="G25312"/>
    <cellWatch r="G25313"/>
    <cellWatch r="G25314"/>
    <cellWatch r="G25315"/>
    <cellWatch r="G25316"/>
    <cellWatch r="G25317"/>
    <cellWatch r="G25318"/>
    <cellWatch r="G25319"/>
    <cellWatch r="G25320"/>
    <cellWatch r="G25321"/>
    <cellWatch r="G25322"/>
    <cellWatch r="G25323"/>
    <cellWatch r="G25324"/>
    <cellWatch r="G25325"/>
    <cellWatch r="G25326"/>
    <cellWatch r="G25327"/>
    <cellWatch r="G25328"/>
    <cellWatch r="G25329"/>
    <cellWatch r="G25330"/>
    <cellWatch r="G25331"/>
    <cellWatch r="G25332"/>
    <cellWatch r="G25333"/>
    <cellWatch r="G25334"/>
    <cellWatch r="G25335"/>
    <cellWatch r="G25336"/>
    <cellWatch r="G25337"/>
    <cellWatch r="G25338"/>
    <cellWatch r="G25339"/>
    <cellWatch r="G25340"/>
    <cellWatch r="G25341"/>
    <cellWatch r="G25342"/>
    <cellWatch r="G25343"/>
    <cellWatch r="G25344"/>
    <cellWatch r="G25345"/>
    <cellWatch r="G25346"/>
    <cellWatch r="G25347"/>
    <cellWatch r="G25348"/>
    <cellWatch r="G25349"/>
    <cellWatch r="G25350"/>
    <cellWatch r="G25351"/>
    <cellWatch r="G25352"/>
    <cellWatch r="G25353"/>
    <cellWatch r="G25354"/>
    <cellWatch r="G25355"/>
    <cellWatch r="G25356"/>
    <cellWatch r="G25357"/>
    <cellWatch r="G25358"/>
    <cellWatch r="G25359"/>
    <cellWatch r="G25360"/>
    <cellWatch r="G25361"/>
    <cellWatch r="G25362"/>
    <cellWatch r="G25363"/>
    <cellWatch r="G25364"/>
    <cellWatch r="G25365"/>
    <cellWatch r="G25366"/>
    <cellWatch r="G25367"/>
    <cellWatch r="G25368"/>
    <cellWatch r="G25369"/>
    <cellWatch r="G25370"/>
    <cellWatch r="G25371"/>
    <cellWatch r="G25372"/>
    <cellWatch r="G25373"/>
    <cellWatch r="G25374"/>
    <cellWatch r="G25375"/>
    <cellWatch r="G25376"/>
    <cellWatch r="G25377"/>
    <cellWatch r="G25378"/>
    <cellWatch r="G25379"/>
    <cellWatch r="G25380"/>
    <cellWatch r="G25381"/>
    <cellWatch r="G25382"/>
    <cellWatch r="G25383"/>
    <cellWatch r="G25384"/>
    <cellWatch r="G25385"/>
    <cellWatch r="G25386"/>
    <cellWatch r="G25387"/>
    <cellWatch r="G25388"/>
    <cellWatch r="G25389"/>
    <cellWatch r="G25390"/>
    <cellWatch r="G25391"/>
    <cellWatch r="G25392"/>
    <cellWatch r="G25393"/>
    <cellWatch r="G25394"/>
    <cellWatch r="G25395"/>
    <cellWatch r="G25396"/>
    <cellWatch r="G25397"/>
    <cellWatch r="G25398"/>
    <cellWatch r="G25399"/>
    <cellWatch r="G25400"/>
    <cellWatch r="G25401"/>
    <cellWatch r="G25402"/>
    <cellWatch r="G25403"/>
    <cellWatch r="G25404"/>
    <cellWatch r="G25405"/>
    <cellWatch r="G25406"/>
    <cellWatch r="G25407"/>
    <cellWatch r="G25408"/>
    <cellWatch r="G25409"/>
    <cellWatch r="G25410"/>
    <cellWatch r="G25411"/>
    <cellWatch r="G25412"/>
    <cellWatch r="G25413"/>
    <cellWatch r="G25414"/>
    <cellWatch r="G25415"/>
    <cellWatch r="G25416"/>
    <cellWatch r="G25417"/>
    <cellWatch r="G25418"/>
    <cellWatch r="G25419"/>
    <cellWatch r="G25420"/>
    <cellWatch r="G25421"/>
    <cellWatch r="G25422"/>
    <cellWatch r="G25423"/>
    <cellWatch r="G25424"/>
    <cellWatch r="G25425"/>
    <cellWatch r="G25426"/>
    <cellWatch r="G25427"/>
    <cellWatch r="G25428"/>
    <cellWatch r="G25429"/>
    <cellWatch r="G25430"/>
    <cellWatch r="G25431"/>
    <cellWatch r="G25432"/>
    <cellWatch r="G25433"/>
    <cellWatch r="G25434"/>
    <cellWatch r="G25435"/>
    <cellWatch r="G25436"/>
    <cellWatch r="G25437"/>
    <cellWatch r="G25438"/>
    <cellWatch r="G25439"/>
    <cellWatch r="G25440"/>
    <cellWatch r="G25441"/>
    <cellWatch r="G25442"/>
    <cellWatch r="G25443"/>
    <cellWatch r="G25444"/>
    <cellWatch r="G25445"/>
    <cellWatch r="G25446"/>
    <cellWatch r="G25447"/>
    <cellWatch r="G25448"/>
    <cellWatch r="G25449"/>
    <cellWatch r="G25450"/>
    <cellWatch r="G25451"/>
    <cellWatch r="G25452"/>
    <cellWatch r="G25453"/>
    <cellWatch r="G25454"/>
    <cellWatch r="G25455"/>
    <cellWatch r="G25456"/>
    <cellWatch r="G25457"/>
    <cellWatch r="G25458"/>
    <cellWatch r="G25459"/>
    <cellWatch r="G25460"/>
    <cellWatch r="G25461"/>
    <cellWatch r="G25462"/>
    <cellWatch r="G25463"/>
    <cellWatch r="G25464"/>
    <cellWatch r="G25465"/>
    <cellWatch r="G25466"/>
    <cellWatch r="G25467"/>
    <cellWatch r="G25468"/>
    <cellWatch r="G25469"/>
    <cellWatch r="G25470"/>
    <cellWatch r="G25471"/>
    <cellWatch r="G25472"/>
    <cellWatch r="G25473"/>
    <cellWatch r="G25474"/>
    <cellWatch r="G25475"/>
    <cellWatch r="G25476"/>
    <cellWatch r="G25477"/>
    <cellWatch r="G25478"/>
    <cellWatch r="G25479"/>
    <cellWatch r="G25480"/>
    <cellWatch r="G25481"/>
    <cellWatch r="G25482"/>
    <cellWatch r="G25483"/>
    <cellWatch r="G25484"/>
    <cellWatch r="G25485"/>
    <cellWatch r="G25486"/>
    <cellWatch r="G25487"/>
    <cellWatch r="G25488"/>
    <cellWatch r="G25489"/>
    <cellWatch r="G25490"/>
    <cellWatch r="G25491"/>
    <cellWatch r="G25492"/>
    <cellWatch r="G25493"/>
    <cellWatch r="G25494"/>
    <cellWatch r="G25495"/>
    <cellWatch r="G25496"/>
    <cellWatch r="G25497"/>
    <cellWatch r="G25498"/>
    <cellWatch r="G25499"/>
    <cellWatch r="G25500"/>
    <cellWatch r="G25501"/>
    <cellWatch r="G25502"/>
    <cellWatch r="G25503"/>
    <cellWatch r="G25504"/>
    <cellWatch r="G25505"/>
    <cellWatch r="G25506"/>
    <cellWatch r="G25507"/>
    <cellWatch r="G25508"/>
    <cellWatch r="G25509"/>
    <cellWatch r="G25510"/>
    <cellWatch r="G25511"/>
    <cellWatch r="G25512"/>
    <cellWatch r="G25513"/>
    <cellWatch r="G25514"/>
    <cellWatch r="G25515"/>
    <cellWatch r="G25516"/>
    <cellWatch r="G25517"/>
    <cellWatch r="G25518"/>
    <cellWatch r="G25519"/>
    <cellWatch r="G25520"/>
    <cellWatch r="G25521"/>
    <cellWatch r="G25522"/>
    <cellWatch r="G25523"/>
    <cellWatch r="G25524"/>
    <cellWatch r="G25525"/>
    <cellWatch r="G25526"/>
    <cellWatch r="G25527"/>
    <cellWatch r="G25528"/>
    <cellWatch r="G25529"/>
    <cellWatch r="G25530"/>
    <cellWatch r="G25531"/>
    <cellWatch r="G25532"/>
    <cellWatch r="G25533"/>
    <cellWatch r="G25534"/>
    <cellWatch r="G25535"/>
    <cellWatch r="G25536"/>
    <cellWatch r="G25537"/>
    <cellWatch r="G25538"/>
    <cellWatch r="G25539"/>
    <cellWatch r="G25540"/>
    <cellWatch r="G25541"/>
    <cellWatch r="G25542"/>
    <cellWatch r="G25543"/>
    <cellWatch r="G25544"/>
    <cellWatch r="G25545"/>
    <cellWatch r="G25546"/>
    <cellWatch r="G25547"/>
    <cellWatch r="G25548"/>
    <cellWatch r="G25549"/>
    <cellWatch r="G25550"/>
    <cellWatch r="G25551"/>
    <cellWatch r="G25552"/>
    <cellWatch r="G25553"/>
    <cellWatch r="G25554"/>
    <cellWatch r="G25555"/>
    <cellWatch r="G25556"/>
    <cellWatch r="G25557"/>
    <cellWatch r="G25558"/>
    <cellWatch r="G25559"/>
    <cellWatch r="G25560"/>
    <cellWatch r="G25561"/>
    <cellWatch r="G25562"/>
    <cellWatch r="G25563"/>
    <cellWatch r="G25564"/>
    <cellWatch r="G25565"/>
    <cellWatch r="G25566"/>
    <cellWatch r="G25567"/>
    <cellWatch r="G25568"/>
    <cellWatch r="G25569"/>
    <cellWatch r="G25570"/>
    <cellWatch r="G25571"/>
    <cellWatch r="G25572"/>
    <cellWatch r="G25573"/>
    <cellWatch r="G25574"/>
    <cellWatch r="G25575"/>
    <cellWatch r="G25576"/>
    <cellWatch r="G25577"/>
    <cellWatch r="G25578"/>
    <cellWatch r="G25579"/>
    <cellWatch r="G25580"/>
    <cellWatch r="G25581"/>
    <cellWatch r="G25582"/>
    <cellWatch r="G25583"/>
    <cellWatch r="G25584"/>
    <cellWatch r="G25585"/>
    <cellWatch r="G25586"/>
    <cellWatch r="G25587"/>
    <cellWatch r="G25588"/>
    <cellWatch r="G25589"/>
    <cellWatch r="G25590"/>
    <cellWatch r="G25591"/>
    <cellWatch r="G25592"/>
    <cellWatch r="G25593"/>
    <cellWatch r="G25594"/>
    <cellWatch r="G25595"/>
    <cellWatch r="G25596"/>
    <cellWatch r="G25597"/>
    <cellWatch r="G25598"/>
    <cellWatch r="G25599"/>
    <cellWatch r="G25600"/>
    <cellWatch r="G25601"/>
    <cellWatch r="G25602"/>
    <cellWatch r="G25603"/>
    <cellWatch r="G25604"/>
    <cellWatch r="G25605"/>
    <cellWatch r="G25606"/>
    <cellWatch r="G25607"/>
    <cellWatch r="G25608"/>
    <cellWatch r="G25609"/>
    <cellWatch r="G25610"/>
    <cellWatch r="G25611"/>
    <cellWatch r="G25612"/>
    <cellWatch r="G25613"/>
    <cellWatch r="G25614"/>
    <cellWatch r="G25615"/>
    <cellWatch r="G25616"/>
    <cellWatch r="G25617"/>
    <cellWatch r="G25618"/>
    <cellWatch r="G25619"/>
    <cellWatch r="G25620"/>
    <cellWatch r="G25621"/>
    <cellWatch r="G25622"/>
    <cellWatch r="G25623"/>
    <cellWatch r="G25624"/>
    <cellWatch r="G25625"/>
    <cellWatch r="G25626"/>
    <cellWatch r="G25627"/>
    <cellWatch r="G25628"/>
    <cellWatch r="G25629"/>
    <cellWatch r="G25630"/>
    <cellWatch r="G25631"/>
    <cellWatch r="G25632"/>
    <cellWatch r="G25633"/>
    <cellWatch r="G25634"/>
    <cellWatch r="G25635"/>
    <cellWatch r="G25636"/>
    <cellWatch r="G25637"/>
    <cellWatch r="G25638"/>
    <cellWatch r="G25639"/>
    <cellWatch r="G25640"/>
    <cellWatch r="G25641"/>
    <cellWatch r="G25642"/>
    <cellWatch r="G25643"/>
    <cellWatch r="G25644"/>
    <cellWatch r="G25645"/>
    <cellWatch r="G25646"/>
    <cellWatch r="G25647"/>
    <cellWatch r="G25648"/>
    <cellWatch r="G25649"/>
    <cellWatch r="G25650"/>
    <cellWatch r="G25651"/>
    <cellWatch r="G25652"/>
    <cellWatch r="G25653"/>
    <cellWatch r="G25654"/>
    <cellWatch r="G25655"/>
    <cellWatch r="G25656"/>
    <cellWatch r="G25657"/>
    <cellWatch r="G25658"/>
    <cellWatch r="G25659"/>
    <cellWatch r="G25660"/>
    <cellWatch r="G25661"/>
    <cellWatch r="G25662"/>
    <cellWatch r="G25663"/>
    <cellWatch r="G25664"/>
    <cellWatch r="G25665"/>
    <cellWatch r="G25666"/>
    <cellWatch r="G25667"/>
    <cellWatch r="G25668"/>
    <cellWatch r="G25669"/>
    <cellWatch r="G25670"/>
    <cellWatch r="G25671"/>
    <cellWatch r="G25672"/>
    <cellWatch r="G25673"/>
    <cellWatch r="G25674"/>
    <cellWatch r="G25675"/>
    <cellWatch r="G25676"/>
    <cellWatch r="G25677"/>
    <cellWatch r="G25678"/>
    <cellWatch r="G25679"/>
    <cellWatch r="G25680"/>
    <cellWatch r="G25681"/>
    <cellWatch r="G25682"/>
    <cellWatch r="G25683"/>
    <cellWatch r="G25684"/>
    <cellWatch r="G25685"/>
    <cellWatch r="G25686"/>
    <cellWatch r="G25687"/>
    <cellWatch r="G25688"/>
    <cellWatch r="G25689"/>
    <cellWatch r="G25690"/>
    <cellWatch r="G25691"/>
    <cellWatch r="G25692"/>
    <cellWatch r="G25693"/>
    <cellWatch r="G25694"/>
    <cellWatch r="G25695"/>
    <cellWatch r="G25696"/>
    <cellWatch r="G25697"/>
    <cellWatch r="G25698"/>
    <cellWatch r="G25699"/>
    <cellWatch r="G25700"/>
    <cellWatch r="G25701"/>
    <cellWatch r="G25702"/>
    <cellWatch r="G25703"/>
    <cellWatch r="G25704"/>
    <cellWatch r="G25705"/>
    <cellWatch r="G25706"/>
    <cellWatch r="G25707"/>
    <cellWatch r="G25708"/>
    <cellWatch r="G25709"/>
    <cellWatch r="G25710"/>
    <cellWatch r="G25711"/>
    <cellWatch r="G25712"/>
    <cellWatch r="G25713"/>
    <cellWatch r="G25714"/>
    <cellWatch r="G25715"/>
    <cellWatch r="G25716"/>
    <cellWatch r="G25717"/>
    <cellWatch r="G25718"/>
    <cellWatch r="G25719"/>
    <cellWatch r="G25720"/>
    <cellWatch r="G25721"/>
    <cellWatch r="G25722"/>
    <cellWatch r="G25723"/>
    <cellWatch r="G25724"/>
    <cellWatch r="G25725"/>
    <cellWatch r="G25726"/>
    <cellWatch r="G25727"/>
    <cellWatch r="G25728"/>
    <cellWatch r="G25729"/>
    <cellWatch r="G25730"/>
    <cellWatch r="G25731"/>
    <cellWatch r="G25732"/>
    <cellWatch r="G25733"/>
    <cellWatch r="G25734"/>
    <cellWatch r="G25735"/>
    <cellWatch r="G25736"/>
    <cellWatch r="G25737"/>
    <cellWatch r="G25738"/>
    <cellWatch r="G25739"/>
    <cellWatch r="G25740"/>
    <cellWatch r="G25741"/>
    <cellWatch r="G25742"/>
    <cellWatch r="G25743"/>
    <cellWatch r="G25744"/>
    <cellWatch r="G25745"/>
    <cellWatch r="G25746"/>
    <cellWatch r="G25747"/>
    <cellWatch r="G25748"/>
    <cellWatch r="G25749"/>
    <cellWatch r="G25750"/>
    <cellWatch r="G25751"/>
    <cellWatch r="G25752"/>
    <cellWatch r="G25753"/>
    <cellWatch r="G25754"/>
    <cellWatch r="G25755"/>
    <cellWatch r="G25756"/>
    <cellWatch r="G25757"/>
    <cellWatch r="G25758"/>
    <cellWatch r="G25759"/>
    <cellWatch r="G25760"/>
    <cellWatch r="G25761"/>
    <cellWatch r="G25762"/>
    <cellWatch r="G25763"/>
    <cellWatch r="G25764"/>
    <cellWatch r="G25765"/>
    <cellWatch r="G25766"/>
    <cellWatch r="G25767"/>
    <cellWatch r="G25768"/>
    <cellWatch r="G25769"/>
    <cellWatch r="G25770"/>
    <cellWatch r="G25771"/>
    <cellWatch r="G25772"/>
    <cellWatch r="G25773"/>
    <cellWatch r="G25774"/>
    <cellWatch r="G25775"/>
    <cellWatch r="G25776"/>
    <cellWatch r="G25777"/>
    <cellWatch r="G25778"/>
    <cellWatch r="G25779"/>
    <cellWatch r="G25780"/>
    <cellWatch r="G25781"/>
    <cellWatch r="G25782"/>
    <cellWatch r="G25783"/>
    <cellWatch r="G25784"/>
    <cellWatch r="G25785"/>
    <cellWatch r="G25786"/>
    <cellWatch r="G25787"/>
    <cellWatch r="G25788"/>
    <cellWatch r="G25789"/>
    <cellWatch r="G25790"/>
    <cellWatch r="G25791"/>
    <cellWatch r="G25792"/>
    <cellWatch r="G25793"/>
    <cellWatch r="G25794"/>
    <cellWatch r="G25795"/>
    <cellWatch r="G25796"/>
    <cellWatch r="G25797"/>
    <cellWatch r="G25798"/>
    <cellWatch r="G25799"/>
    <cellWatch r="G25800"/>
    <cellWatch r="G25801"/>
    <cellWatch r="G25802"/>
    <cellWatch r="G25803"/>
    <cellWatch r="G25804"/>
    <cellWatch r="G25805"/>
    <cellWatch r="G25806"/>
    <cellWatch r="G25807"/>
    <cellWatch r="G25808"/>
    <cellWatch r="G25809"/>
    <cellWatch r="G25810"/>
    <cellWatch r="G25811"/>
    <cellWatch r="G25812"/>
    <cellWatch r="G25813"/>
    <cellWatch r="G25814"/>
    <cellWatch r="G25815"/>
    <cellWatch r="G25816"/>
    <cellWatch r="G25817"/>
    <cellWatch r="G25818"/>
    <cellWatch r="G25819"/>
    <cellWatch r="G25820"/>
    <cellWatch r="G25821"/>
    <cellWatch r="G25822"/>
    <cellWatch r="G25823"/>
    <cellWatch r="G25824"/>
    <cellWatch r="G25825"/>
    <cellWatch r="G25826"/>
    <cellWatch r="G25827"/>
    <cellWatch r="G25828"/>
    <cellWatch r="G25829"/>
    <cellWatch r="G25830"/>
    <cellWatch r="G25831"/>
    <cellWatch r="G25832"/>
    <cellWatch r="G25833"/>
    <cellWatch r="G25834"/>
    <cellWatch r="G25835"/>
    <cellWatch r="G25836"/>
    <cellWatch r="G25837"/>
    <cellWatch r="G25838"/>
    <cellWatch r="G25839"/>
    <cellWatch r="G25840"/>
    <cellWatch r="G25841"/>
    <cellWatch r="G25842"/>
    <cellWatch r="G25843"/>
    <cellWatch r="G25844"/>
    <cellWatch r="G25845"/>
    <cellWatch r="G25846"/>
    <cellWatch r="G25847"/>
    <cellWatch r="G25848"/>
    <cellWatch r="G25849"/>
    <cellWatch r="G25850"/>
    <cellWatch r="G25851"/>
    <cellWatch r="G25852"/>
    <cellWatch r="G25853"/>
    <cellWatch r="G25854"/>
    <cellWatch r="G25855"/>
    <cellWatch r="G25856"/>
    <cellWatch r="G25857"/>
    <cellWatch r="G25858"/>
    <cellWatch r="G25859"/>
    <cellWatch r="G25860"/>
    <cellWatch r="G25861"/>
    <cellWatch r="G25862"/>
    <cellWatch r="G25863"/>
    <cellWatch r="G25864"/>
    <cellWatch r="G25865"/>
    <cellWatch r="G25866"/>
    <cellWatch r="G25867"/>
    <cellWatch r="G25868"/>
    <cellWatch r="G25869"/>
    <cellWatch r="G25870"/>
    <cellWatch r="G25871"/>
    <cellWatch r="G25872"/>
    <cellWatch r="G25873"/>
    <cellWatch r="G25874"/>
    <cellWatch r="G25875"/>
    <cellWatch r="G25876"/>
    <cellWatch r="G25877"/>
    <cellWatch r="G25878"/>
    <cellWatch r="G25879"/>
    <cellWatch r="G25880"/>
    <cellWatch r="G25881"/>
    <cellWatch r="G25882"/>
    <cellWatch r="G25883"/>
    <cellWatch r="G25884"/>
    <cellWatch r="G25885"/>
    <cellWatch r="G25886"/>
    <cellWatch r="G25887"/>
    <cellWatch r="G25888"/>
    <cellWatch r="G25889"/>
    <cellWatch r="G25890"/>
    <cellWatch r="G25891"/>
    <cellWatch r="G25892"/>
    <cellWatch r="G25893"/>
    <cellWatch r="G25894"/>
    <cellWatch r="G25895"/>
    <cellWatch r="G25896"/>
    <cellWatch r="G25897"/>
    <cellWatch r="G25898"/>
    <cellWatch r="G25899"/>
    <cellWatch r="G25900"/>
    <cellWatch r="G25901"/>
    <cellWatch r="G25902"/>
    <cellWatch r="G25903"/>
    <cellWatch r="G25904"/>
    <cellWatch r="G25905"/>
    <cellWatch r="G25906"/>
    <cellWatch r="G25907"/>
    <cellWatch r="G25908"/>
    <cellWatch r="G25909"/>
    <cellWatch r="G25910"/>
    <cellWatch r="G25911"/>
    <cellWatch r="G25912"/>
    <cellWatch r="G25913"/>
    <cellWatch r="G25914"/>
    <cellWatch r="G25915"/>
    <cellWatch r="G25916"/>
    <cellWatch r="G25917"/>
    <cellWatch r="G25918"/>
    <cellWatch r="G25919"/>
    <cellWatch r="G25920"/>
    <cellWatch r="G25921"/>
    <cellWatch r="G25922"/>
    <cellWatch r="G25923"/>
    <cellWatch r="G25924"/>
    <cellWatch r="G25925"/>
    <cellWatch r="G25926"/>
    <cellWatch r="G25927"/>
    <cellWatch r="G25928"/>
    <cellWatch r="G25929"/>
    <cellWatch r="G25930"/>
    <cellWatch r="G25931"/>
    <cellWatch r="G25932"/>
    <cellWatch r="G25933"/>
    <cellWatch r="G25934"/>
    <cellWatch r="G25935"/>
    <cellWatch r="G25936"/>
    <cellWatch r="G25937"/>
    <cellWatch r="G25938"/>
    <cellWatch r="G25939"/>
    <cellWatch r="G25940"/>
    <cellWatch r="G25941"/>
    <cellWatch r="G25942"/>
    <cellWatch r="G25943"/>
    <cellWatch r="G25944"/>
    <cellWatch r="G25945"/>
    <cellWatch r="G25946"/>
    <cellWatch r="G25947"/>
    <cellWatch r="G25948"/>
    <cellWatch r="G25949"/>
    <cellWatch r="G25950"/>
    <cellWatch r="G25951"/>
    <cellWatch r="G25952"/>
    <cellWatch r="G25953"/>
    <cellWatch r="G25954"/>
    <cellWatch r="G25955"/>
    <cellWatch r="G25956"/>
    <cellWatch r="G25957"/>
    <cellWatch r="G25958"/>
    <cellWatch r="G25959"/>
    <cellWatch r="G25960"/>
    <cellWatch r="G25961"/>
    <cellWatch r="G25962"/>
    <cellWatch r="G25963"/>
    <cellWatch r="G25964"/>
    <cellWatch r="G25965"/>
    <cellWatch r="G25966"/>
    <cellWatch r="G25967"/>
    <cellWatch r="G25968"/>
    <cellWatch r="G25969"/>
    <cellWatch r="G25970"/>
    <cellWatch r="G25971"/>
    <cellWatch r="G25972"/>
    <cellWatch r="G25973"/>
    <cellWatch r="G25974"/>
    <cellWatch r="G25975"/>
    <cellWatch r="G25976"/>
    <cellWatch r="G25977"/>
    <cellWatch r="G25978"/>
    <cellWatch r="G25979"/>
    <cellWatch r="G25980"/>
    <cellWatch r="G25981"/>
    <cellWatch r="G25982"/>
    <cellWatch r="G25983"/>
    <cellWatch r="G25984"/>
    <cellWatch r="G25985"/>
    <cellWatch r="G25986"/>
    <cellWatch r="G25987"/>
    <cellWatch r="G25988"/>
    <cellWatch r="G25989"/>
    <cellWatch r="G25990"/>
    <cellWatch r="G25991"/>
    <cellWatch r="G25992"/>
    <cellWatch r="G25993"/>
    <cellWatch r="G25994"/>
    <cellWatch r="G25995"/>
    <cellWatch r="G25996"/>
    <cellWatch r="G25997"/>
    <cellWatch r="G25998"/>
    <cellWatch r="G25999"/>
    <cellWatch r="G26000"/>
    <cellWatch r="G26001"/>
    <cellWatch r="G26002"/>
    <cellWatch r="G26003"/>
    <cellWatch r="G26004"/>
    <cellWatch r="G26005"/>
    <cellWatch r="G26006"/>
    <cellWatch r="G26007"/>
    <cellWatch r="G26008"/>
    <cellWatch r="G26009"/>
    <cellWatch r="G26010"/>
    <cellWatch r="G26011"/>
    <cellWatch r="G26012"/>
    <cellWatch r="G26013"/>
    <cellWatch r="G26014"/>
    <cellWatch r="G26015"/>
    <cellWatch r="G26016"/>
    <cellWatch r="G26017"/>
    <cellWatch r="G26018"/>
    <cellWatch r="G26019"/>
    <cellWatch r="G26020"/>
    <cellWatch r="G26021"/>
    <cellWatch r="G26022"/>
    <cellWatch r="G26023"/>
    <cellWatch r="G26024"/>
    <cellWatch r="G26025"/>
    <cellWatch r="G26026"/>
    <cellWatch r="G26027"/>
    <cellWatch r="G26028"/>
    <cellWatch r="G26029"/>
    <cellWatch r="G26030"/>
    <cellWatch r="G26031"/>
    <cellWatch r="G26032"/>
    <cellWatch r="G26033"/>
    <cellWatch r="G26034"/>
    <cellWatch r="G26035"/>
    <cellWatch r="G26036"/>
    <cellWatch r="G26037"/>
    <cellWatch r="G26038"/>
    <cellWatch r="G26039"/>
    <cellWatch r="G26040"/>
    <cellWatch r="G26041"/>
    <cellWatch r="G26042"/>
    <cellWatch r="G26043"/>
    <cellWatch r="G26044"/>
    <cellWatch r="G26045"/>
    <cellWatch r="G26046"/>
    <cellWatch r="G26047"/>
    <cellWatch r="G26048"/>
    <cellWatch r="G26049"/>
    <cellWatch r="G26050"/>
    <cellWatch r="G26051"/>
    <cellWatch r="G26052"/>
    <cellWatch r="G26053"/>
    <cellWatch r="G26054"/>
    <cellWatch r="G26055"/>
    <cellWatch r="G26056"/>
    <cellWatch r="G26057"/>
    <cellWatch r="G26058"/>
    <cellWatch r="G26059"/>
    <cellWatch r="G26060"/>
    <cellWatch r="G26061"/>
    <cellWatch r="G26062"/>
    <cellWatch r="G26063"/>
    <cellWatch r="G26064"/>
    <cellWatch r="G26065"/>
    <cellWatch r="G26066"/>
    <cellWatch r="G26067"/>
    <cellWatch r="G26068"/>
    <cellWatch r="G26069"/>
    <cellWatch r="G26070"/>
    <cellWatch r="G26071"/>
    <cellWatch r="G26072"/>
    <cellWatch r="G26073"/>
    <cellWatch r="G26074"/>
    <cellWatch r="G26075"/>
    <cellWatch r="G26076"/>
    <cellWatch r="G26077"/>
    <cellWatch r="G26078"/>
    <cellWatch r="G26079"/>
    <cellWatch r="G26080"/>
    <cellWatch r="G26081"/>
    <cellWatch r="G26082"/>
    <cellWatch r="G26083"/>
    <cellWatch r="G26084"/>
    <cellWatch r="G26085"/>
    <cellWatch r="G26086"/>
    <cellWatch r="G26087"/>
    <cellWatch r="G26088"/>
    <cellWatch r="G26089"/>
    <cellWatch r="G26090"/>
    <cellWatch r="G26091"/>
    <cellWatch r="G26092"/>
    <cellWatch r="G26093"/>
    <cellWatch r="G26094"/>
    <cellWatch r="G26095"/>
    <cellWatch r="G26096"/>
    <cellWatch r="G26097"/>
    <cellWatch r="G26098"/>
    <cellWatch r="G26099"/>
    <cellWatch r="G26100"/>
    <cellWatch r="G26101"/>
    <cellWatch r="G26102"/>
    <cellWatch r="G26103"/>
    <cellWatch r="G26104"/>
    <cellWatch r="G26105"/>
    <cellWatch r="G26106"/>
    <cellWatch r="G26107"/>
    <cellWatch r="G26108"/>
    <cellWatch r="G26109"/>
    <cellWatch r="G26110"/>
    <cellWatch r="G26111"/>
    <cellWatch r="G26112"/>
    <cellWatch r="G26113"/>
    <cellWatch r="G26114"/>
    <cellWatch r="G26115"/>
    <cellWatch r="G26116"/>
    <cellWatch r="G26117"/>
    <cellWatch r="G26118"/>
    <cellWatch r="G26119"/>
    <cellWatch r="G26120"/>
    <cellWatch r="G26121"/>
    <cellWatch r="G26122"/>
    <cellWatch r="G26123"/>
    <cellWatch r="G26124"/>
    <cellWatch r="G26125"/>
    <cellWatch r="G26126"/>
    <cellWatch r="G26127"/>
    <cellWatch r="G26128"/>
    <cellWatch r="G26129"/>
    <cellWatch r="G26130"/>
    <cellWatch r="G26131"/>
    <cellWatch r="G26132"/>
    <cellWatch r="G26133"/>
    <cellWatch r="G26134"/>
    <cellWatch r="G26135"/>
    <cellWatch r="G26136"/>
    <cellWatch r="G26137"/>
    <cellWatch r="G26138"/>
    <cellWatch r="G26139"/>
    <cellWatch r="G26140"/>
    <cellWatch r="G26141"/>
    <cellWatch r="G26142"/>
    <cellWatch r="G26143"/>
    <cellWatch r="G26144"/>
    <cellWatch r="G26145"/>
    <cellWatch r="G26146"/>
    <cellWatch r="G26147"/>
    <cellWatch r="G26148"/>
    <cellWatch r="G26149"/>
    <cellWatch r="G26150"/>
    <cellWatch r="G26151"/>
    <cellWatch r="G26152"/>
    <cellWatch r="G26153"/>
    <cellWatch r="G26154"/>
    <cellWatch r="G26155"/>
    <cellWatch r="G26156"/>
    <cellWatch r="G26157"/>
    <cellWatch r="G26158"/>
    <cellWatch r="G26159"/>
    <cellWatch r="G26160"/>
    <cellWatch r="G26161"/>
    <cellWatch r="G26162"/>
    <cellWatch r="G26163"/>
    <cellWatch r="G26164"/>
    <cellWatch r="G26165"/>
    <cellWatch r="G26166"/>
    <cellWatch r="G26167"/>
    <cellWatch r="G26168"/>
    <cellWatch r="G26169"/>
    <cellWatch r="G26170"/>
    <cellWatch r="G26171"/>
    <cellWatch r="G26172"/>
    <cellWatch r="G26173"/>
    <cellWatch r="G26174"/>
    <cellWatch r="G26175"/>
    <cellWatch r="G26176"/>
    <cellWatch r="G26177"/>
    <cellWatch r="G26178"/>
    <cellWatch r="G26179"/>
    <cellWatch r="G26180"/>
    <cellWatch r="G26181"/>
    <cellWatch r="G26182"/>
    <cellWatch r="G26183"/>
    <cellWatch r="G26184"/>
    <cellWatch r="G26185"/>
    <cellWatch r="G26186"/>
    <cellWatch r="G26187"/>
    <cellWatch r="G26188"/>
    <cellWatch r="G26189"/>
    <cellWatch r="G26190"/>
    <cellWatch r="G26191"/>
    <cellWatch r="G26192"/>
    <cellWatch r="G26193"/>
    <cellWatch r="G26194"/>
    <cellWatch r="G26195"/>
    <cellWatch r="G26196"/>
    <cellWatch r="G26197"/>
    <cellWatch r="G26198"/>
    <cellWatch r="G26199"/>
    <cellWatch r="G26200"/>
    <cellWatch r="G26201"/>
    <cellWatch r="G26202"/>
    <cellWatch r="G26203"/>
    <cellWatch r="G26204"/>
    <cellWatch r="G26205"/>
    <cellWatch r="G26206"/>
    <cellWatch r="G26207"/>
    <cellWatch r="G26208"/>
    <cellWatch r="G26209"/>
    <cellWatch r="G26210"/>
    <cellWatch r="G26211"/>
    <cellWatch r="G26212"/>
    <cellWatch r="G26213"/>
    <cellWatch r="G26214"/>
    <cellWatch r="G26215"/>
    <cellWatch r="G26216"/>
    <cellWatch r="G26217"/>
    <cellWatch r="G26218"/>
    <cellWatch r="G26219"/>
    <cellWatch r="G26220"/>
    <cellWatch r="G26221"/>
    <cellWatch r="G26222"/>
    <cellWatch r="G26223"/>
    <cellWatch r="G26224"/>
    <cellWatch r="G26225"/>
    <cellWatch r="G26226"/>
    <cellWatch r="G26227"/>
    <cellWatch r="G26228"/>
    <cellWatch r="G26229"/>
    <cellWatch r="G26230"/>
    <cellWatch r="G26231"/>
    <cellWatch r="G26232"/>
    <cellWatch r="G26233"/>
    <cellWatch r="G26234"/>
    <cellWatch r="G26235"/>
    <cellWatch r="G26236"/>
    <cellWatch r="G26237"/>
    <cellWatch r="G26238"/>
    <cellWatch r="G26239"/>
    <cellWatch r="G26240"/>
    <cellWatch r="G26241"/>
    <cellWatch r="G26242"/>
    <cellWatch r="G26243"/>
    <cellWatch r="G26244"/>
    <cellWatch r="G26245"/>
    <cellWatch r="G26246"/>
    <cellWatch r="G26247"/>
    <cellWatch r="G26248"/>
    <cellWatch r="G26249"/>
    <cellWatch r="G26250"/>
    <cellWatch r="G26251"/>
    <cellWatch r="G26252"/>
    <cellWatch r="G26253"/>
    <cellWatch r="G26254"/>
    <cellWatch r="G26255"/>
    <cellWatch r="G26256"/>
    <cellWatch r="G26257"/>
    <cellWatch r="G26258"/>
    <cellWatch r="G26259"/>
    <cellWatch r="G26260"/>
    <cellWatch r="G26261"/>
    <cellWatch r="G26262"/>
    <cellWatch r="G26263"/>
    <cellWatch r="G26264"/>
    <cellWatch r="G26265"/>
    <cellWatch r="G26266"/>
    <cellWatch r="G26267"/>
    <cellWatch r="G26268"/>
    <cellWatch r="G26269"/>
    <cellWatch r="G26270"/>
    <cellWatch r="G26271"/>
    <cellWatch r="G26272"/>
    <cellWatch r="G26273"/>
    <cellWatch r="G26274"/>
    <cellWatch r="G26275"/>
    <cellWatch r="G26276"/>
    <cellWatch r="G26277"/>
    <cellWatch r="G26278"/>
    <cellWatch r="G26279"/>
    <cellWatch r="G26280"/>
    <cellWatch r="G26281"/>
    <cellWatch r="G26282"/>
    <cellWatch r="G26283"/>
    <cellWatch r="G26284"/>
    <cellWatch r="G26285"/>
    <cellWatch r="G26286"/>
    <cellWatch r="G26287"/>
    <cellWatch r="G26288"/>
    <cellWatch r="G26289"/>
    <cellWatch r="G26290"/>
    <cellWatch r="G26291"/>
    <cellWatch r="G26292"/>
    <cellWatch r="G26293"/>
    <cellWatch r="G26294"/>
    <cellWatch r="G26295"/>
    <cellWatch r="G26296"/>
    <cellWatch r="G26297"/>
    <cellWatch r="G26298"/>
    <cellWatch r="G26299"/>
    <cellWatch r="G26300"/>
    <cellWatch r="G26301"/>
    <cellWatch r="G26302"/>
    <cellWatch r="G26303"/>
    <cellWatch r="G26304"/>
    <cellWatch r="G26305"/>
    <cellWatch r="G26306"/>
    <cellWatch r="G26307"/>
    <cellWatch r="G26308"/>
    <cellWatch r="G26309"/>
    <cellWatch r="G26310"/>
    <cellWatch r="G26311"/>
    <cellWatch r="G26312"/>
    <cellWatch r="G26313"/>
    <cellWatch r="G26314"/>
    <cellWatch r="G26315"/>
    <cellWatch r="G26316"/>
    <cellWatch r="G26317"/>
    <cellWatch r="G26318"/>
    <cellWatch r="G26319"/>
    <cellWatch r="G26320"/>
    <cellWatch r="G26321"/>
    <cellWatch r="G26322"/>
    <cellWatch r="G26323"/>
    <cellWatch r="G26324"/>
    <cellWatch r="G26325"/>
    <cellWatch r="G26326"/>
    <cellWatch r="G26327"/>
    <cellWatch r="G26328"/>
    <cellWatch r="G26329"/>
    <cellWatch r="G26330"/>
    <cellWatch r="G26331"/>
    <cellWatch r="G26332"/>
    <cellWatch r="G26333"/>
    <cellWatch r="G26334"/>
    <cellWatch r="G26335"/>
    <cellWatch r="G26336"/>
    <cellWatch r="G26337"/>
    <cellWatch r="G26338"/>
    <cellWatch r="G26339"/>
    <cellWatch r="G26340"/>
    <cellWatch r="G26341"/>
    <cellWatch r="G26342"/>
    <cellWatch r="G26343"/>
    <cellWatch r="G26344"/>
    <cellWatch r="G26345"/>
    <cellWatch r="G26346"/>
    <cellWatch r="G26347"/>
    <cellWatch r="G26348"/>
    <cellWatch r="G26349"/>
    <cellWatch r="G26350"/>
    <cellWatch r="G26351"/>
    <cellWatch r="G26352"/>
    <cellWatch r="G26353"/>
    <cellWatch r="G26354"/>
    <cellWatch r="G26355"/>
    <cellWatch r="G26356"/>
    <cellWatch r="G26357"/>
    <cellWatch r="G26358"/>
    <cellWatch r="G26359"/>
    <cellWatch r="G26360"/>
    <cellWatch r="G26361"/>
    <cellWatch r="G26362"/>
    <cellWatch r="G26363"/>
    <cellWatch r="G26364"/>
    <cellWatch r="G26365"/>
    <cellWatch r="G26366"/>
    <cellWatch r="G26367"/>
    <cellWatch r="G26368"/>
    <cellWatch r="G26369"/>
    <cellWatch r="G26370"/>
    <cellWatch r="G26371"/>
    <cellWatch r="G26372"/>
    <cellWatch r="G26373"/>
    <cellWatch r="G26374"/>
    <cellWatch r="G26375"/>
    <cellWatch r="G26376"/>
    <cellWatch r="G26377"/>
    <cellWatch r="G26378"/>
    <cellWatch r="G26379"/>
    <cellWatch r="G26380"/>
    <cellWatch r="G26381"/>
    <cellWatch r="G26382"/>
    <cellWatch r="G26383"/>
    <cellWatch r="G26384"/>
    <cellWatch r="G26385"/>
    <cellWatch r="G26386"/>
    <cellWatch r="G26387"/>
    <cellWatch r="G26388"/>
    <cellWatch r="G26389"/>
    <cellWatch r="G26390"/>
    <cellWatch r="G26391"/>
    <cellWatch r="G26392"/>
    <cellWatch r="G26393"/>
    <cellWatch r="G26394"/>
    <cellWatch r="G26395"/>
    <cellWatch r="G26396"/>
    <cellWatch r="G26397"/>
    <cellWatch r="G26398"/>
    <cellWatch r="G26399"/>
    <cellWatch r="G26400"/>
    <cellWatch r="G26401"/>
    <cellWatch r="G26402"/>
    <cellWatch r="G26403"/>
    <cellWatch r="G26404"/>
    <cellWatch r="G26405"/>
    <cellWatch r="G26406"/>
    <cellWatch r="G26407"/>
    <cellWatch r="G26408"/>
    <cellWatch r="G26409"/>
    <cellWatch r="G26410"/>
    <cellWatch r="G26411"/>
    <cellWatch r="G26412"/>
    <cellWatch r="G26413"/>
    <cellWatch r="G26414"/>
    <cellWatch r="G26415"/>
    <cellWatch r="G26416"/>
    <cellWatch r="G26417"/>
    <cellWatch r="G26418"/>
    <cellWatch r="G26419"/>
    <cellWatch r="G26420"/>
    <cellWatch r="G26421"/>
    <cellWatch r="G26422"/>
    <cellWatch r="G26423"/>
    <cellWatch r="G26424"/>
    <cellWatch r="G26425"/>
    <cellWatch r="G26426"/>
    <cellWatch r="G26427"/>
    <cellWatch r="G26428"/>
    <cellWatch r="G26429"/>
    <cellWatch r="G26430"/>
    <cellWatch r="G26431"/>
    <cellWatch r="G26432"/>
    <cellWatch r="G26433"/>
    <cellWatch r="G26434"/>
    <cellWatch r="G26435"/>
    <cellWatch r="G26436"/>
    <cellWatch r="G26437"/>
    <cellWatch r="G26438"/>
    <cellWatch r="G26439"/>
    <cellWatch r="G26440"/>
    <cellWatch r="G26441"/>
    <cellWatch r="G26442"/>
    <cellWatch r="G26443"/>
    <cellWatch r="G26444"/>
    <cellWatch r="G26445"/>
    <cellWatch r="G26446"/>
    <cellWatch r="G26447"/>
    <cellWatch r="G26448"/>
    <cellWatch r="G26449"/>
    <cellWatch r="G26450"/>
    <cellWatch r="G26451"/>
    <cellWatch r="G26452"/>
    <cellWatch r="G26453"/>
    <cellWatch r="G26454"/>
    <cellWatch r="G26455"/>
    <cellWatch r="G26456"/>
    <cellWatch r="G26457"/>
    <cellWatch r="G26458"/>
    <cellWatch r="G26459"/>
    <cellWatch r="G26460"/>
    <cellWatch r="G26461"/>
    <cellWatch r="G26462"/>
    <cellWatch r="G26463"/>
    <cellWatch r="G26464"/>
    <cellWatch r="G26465"/>
    <cellWatch r="G26466"/>
    <cellWatch r="G26467"/>
    <cellWatch r="G26468"/>
    <cellWatch r="G26469"/>
    <cellWatch r="G26470"/>
    <cellWatch r="G26471"/>
    <cellWatch r="G26472"/>
    <cellWatch r="G26473"/>
    <cellWatch r="G26474"/>
    <cellWatch r="G26475"/>
    <cellWatch r="G26476"/>
    <cellWatch r="G26477"/>
    <cellWatch r="G26478"/>
    <cellWatch r="G26479"/>
    <cellWatch r="G26480"/>
    <cellWatch r="G26481"/>
    <cellWatch r="G26482"/>
    <cellWatch r="G26483"/>
    <cellWatch r="G26484"/>
    <cellWatch r="G26485"/>
    <cellWatch r="G26486"/>
    <cellWatch r="G26487"/>
    <cellWatch r="G26488"/>
    <cellWatch r="G26489"/>
    <cellWatch r="G26490"/>
    <cellWatch r="G26491"/>
    <cellWatch r="G26492"/>
    <cellWatch r="G26493"/>
    <cellWatch r="G26494"/>
    <cellWatch r="G26495"/>
    <cellWatch r="G26496"/>
    <cellWatch r="G26497"/>
    <cellWatch r="G26498"/>
    <cellWatch r="G26499"/>
    <cellWatch r="G26500"/>
    <cellWatch r="G26501"/>
    <cellWatch r="G26502"/>
    <cellWatch r="G26503"/>
    <cellWatch r="G26504"/>
    <cellWatch r="G26505"/>
    <cellWatch r="G26506"/>
    <cellWatch r="G26507"/>
    <cellWatch r="G26508"/>
    <cellWatch r="G26509"/>
    <cellWatch r="G26510"/>
    <cellWatch r="G26511"/>
    <cellWatch r="G26512"/>
    <cellWatch r="G26513"/>
    <cellWatch r="G26514"/>
    <cellWatch r="G26515"/>
    <cellWatch r="G26516"/>
    <cellWatch r="G26517"/>
    <cellWatch r="G26518"/>
    <cellWatch r="G26519"/>
    <cellWatch r="G26520"/>
    <cellWatch r="G26521"/>
    <cellWatch r="G26522"/>
    <cellWatch r="G26523"/>
    <cellWatch r="G26524"/>
    <cellWatch r="G26525"/>
    <cellWatch r="G26526"/>
    <cellWatch r="G26527"/>
    <cellWatch r="G26528"/>
    <cellWatch r="G26529"/>
    <cellWatch r="G26530"/>
    <cellWatch r="G26531"/>
    <cellWatch r="G26532"/>
    <cellWatch r="G26533"/>
    <cellWatch r="G26534"/>
    <cellWatch r="G26535"/>
    <cellWatch r="G26536"/>
    <cellWatch r="G26537"/>
    <cellWatch r="G26538"/>
    <cellWatch r="G26539"/>
    <cellWatch r="G26540"/>
    <cellWatch r="G26541"/>
    <cellWatch r="G26542"/>
    <cellWatch r="G26543"/>
    <cellWatch r="G26544"/>
    <cellWatch r="G26545"/>
    <cellWatch r="G26546"/>
    <cellWatch r="G26547"/>
    <cellWatch r="G26548"/>
    <cellWatch r="G26549"/>
    <cellWatch r="G26550"/>
    <cellWatch r="G26551"/>
    <cellWatch r="G26552"/>
    <cellWatch r="G26553"/>
    <cellWatch r="G26554"/>
    <cellWatch r="G26555"/>
    <cellWatch r="G26556"/>
    <cellWatch r="G26557"/>
    <cellWatch r="G26558"/>
    <cellWatch r="G26559"/>
    <cellWatch r="G26560"/>
    <cellWatch r="G26561"/>
    <cellWatch r="G26562"/>
    <cellWatch r="G26563"/>
    <cellWatch r="G26564"/>
    <cellWatch r="G26565"/>
    <cellWatch r="G26566"/>
    <cellWatch r="G26567"/>
    <cellWatch r="G26568"/>
    <cellWatch r="G26569"/>
    <cellWatch r="G26570"/>
    <cellWatch r="G26571"/>
    <cellWatch r="G26572"/>
    <cellWatch r="G26573"/>
    <cellWatch r="G26574"/>
    <cellWatch r="G26575"/>
    <cellWatch r="G26576"/>
    <cellWatch r="G26577"/>
    <cellWatch r="G26578"/>
    <cellWatch r="G26579"/>
    <cellWatch r="G26580"/>
    <cellWatch r="G26581"/>
    <cellWatch r="G26582"/>
    <cellWatch r="G26583"/>
    <cellWatch r="G26584"/>
    <cellWatch r="G26585"/>
    <cellWatch r="G26586"/>
    <cellWatch r="G26587"/>
    <cellWatch r="G26588"/>
    <cellWatch r="G26589"/>
    <cellWatch r="G26590"/>
    <cellWatch r="G26591"/>
    <cellWatch r="G26592"/>
    <cellWatch r="G26593"/>
    <cellWatch r="G26594"/>
    <cellWatch r="G26595"/>
    <cellWatch r="G26596"/>
    <cellWatch r="G26597"/>
    <cellWatch r="G26598"/>
    <cellWatch r="G26599"/>
    <cellWatch r="G26600"/>
    <cellWatch r="G26601"/>
    <cellWatch r="G26602"/>
    <cellWatch r="G26603"/>
    <cellWatch r="G26604"/>
    <cellWatch r="G26605"/>
    <cellWatch r="G26606"/>
    <cellWatch r="G26607"/>
    <cellWatch r="G26608"/>
    <cellWatch r="G26609"/>
    <cellWatch r="G26610"/>
    <cellWatch r="G26611"/>
    <cellWatch r="G26612"/>
    <cellWatch r="G26613"/>
    <cellWatch r="G26614"/>
    <cellWatch r="G26615"/>
    <cellWatch r="G26616"/>
    <cellWatch r="G26617"/>
    <cellWatch r="G26618"/>
    <cellWatch r="G26619"/>
    <cellWatch r="G26620"/>
    <cellWatch r="G26621"/>
    <cellWatch r="G26622"/>
    <cellWatch r="G26623"/>
    <cellWatch r="G26624"/>
    <cellWatch r="G26625"/>
    <cellWatch r="G26626"/>
    <cellWatch r="G26627"/>
    <cellWatch r="G26628"/>
    <cellWatch r="G26629"/>
    <cellWatch r="G26630"/>
    <cellWatch r="G26631"/>
    <cellWatch r="G26632"/>
    <cellWatch r="G26633"/>
    <cellWatch r="G26634"/>
    <cellWatch r="G26635"/>
    <cellWatch r="G26636"/>
    <cellWatch r="G26637"/>
    <cellWatch r="G26638"/>
    <cellWatch r="G26639"/>
    <cellWatch r="G26640"/>
    <cellWatch r="G26641"/>
    <cellWatch r="G26642"/>
    <cellWatch r="G26643"/>
    <cellWatch r="G26644"/>
    <cellWatch r="G26645"/>
    <cellWatch r="G26646"/>
    <cellWatch r="G26647"/>
    <cellWatch r="G26648"/>
    <cellWatch r="G26649"/>
    <cellWatch r="G26650"/>
    <cellWatch r="G26651"/>
    <cellWatch r="G26652"/>
    <cellWatch r="G26653"/>
    <cellWatch r="G26654"/>
    <cellWatch r="G26655"/>
    <cellWatch r="G26656"/>
    <cellWatch r="G26657"/>
    <cellWatch r="G26658"/>
    <cellWatch r="G26659"/>
    <cellWatch r="G26660"/>
    <cellWatch r="G26661"/>
    <cellWatch r="G26662"/>
    <cellWatch r="G26663"/>
    <cellWatch r="G26664"/>
    <cellWatch r="G26665"/>
    <cellWatch r="G26666"/>
    <cellWatch r="G26667"/>
    <cellWatch r="G26668"/>
    <cellWatch r="G26669"/>
    <cellWatch r="G26670"/>
    <cellWatch r="G26671"/>
    <cellWatch r="G26672"/>
    <cellWatch r="G26673"/>
    <cellWatch r="G26674"/>
    <cellWatch r="G26675"/>
    <cellWatch r="G26676"/>
    <cellWatch r="G26677"/>
    <cellWatch r="G26678"/>
    <cellWatch r="G26679"/>
    <cellWatch r="G26680"/>
    <cellWatch r="G26681"/>
    <cellWatch r="G26682"/>
    <cellWatch r="G26683"/>
    <cellWatch r="G26684"/>
    <cellWatch r="G26685"/>
    <cellWatch r="G26686"/>
    <cellWatch r="G26687"/>
    <cellWatch r="G26688"/>
    <cellWatch r="G26689"/>
    <cellWatch r="G26690"/>
    <cellWatch r="G26691"/>
    <cellWatch r="G26692"/>
    <cellWatch r="G26693"/>
    <cellWatch r="G26694"/>
    <cellWatch r="G26695"/>
    <cellWatch r="G26696"/>
    <cellWatch r="G26697"/>
    <cellWatch r="G26698"/>
    <cellWatch r="G26699"/>
    <cellWatch r="G26700"/>
    <cellWatch r="G26701"/>
    <cellWatch r="G26702"/>
    <cellWatch r="G26703"/>
    <cellWatch r="G26704"/>
    <cellWatch r="G26705"/>
    <cellWatch r="G26706"/>
    <cellWatch r="G26707"/>
    <cellWatch r="G26708"/>
    <cellWatch r="G26709"/>
    <cellWatch r="G26710"/>
    <cellWatch r="G26711"/>
    <cellWatch r="G26712"/>
    <cellWatch r="G26713"/>
    <cellWatch r="G26714"/>
    <cellWatch r="G26715"/>
    <cellWatch r="G26716"/>
    <cellWatch r="G26717"/>
    <cellWatch r="G26718"/>
    <cellWatch r="G26719"/>
    <cellWatch r="G26720"/>
    <cellWatch r="G26721"/>
    <cellWatch r="G26722"/>
    <cellWatch r="G26723"/>
    <cellWatch r="G26724"/>
    <cellWatch r="G26725"/>
    <cellWatch r="G26726"/>
    <cellWatch r="G26727"/>
    <cellWatch r="G26728"/>
    <cellWatch r="G26729"/>
    <cellWatch r="G26730"/>
    <cellWatch r="G26731"/>
    <cellWatch r="G26732"/>
    <cellWatch r="G26733"/>
    <cellWatch r="G26734"/>
    <cellWatch r="G26735"/>
    <cellWatch r="G26736"/>
    <cellWatch r="G26737"/>
    <cellWatch r="G26738"/>
    <cellWatch r="G26739"/>
    <cellWatch r="G26740"/>
    <cellWatch r="G26741"/>
    <cellWatch r="G26742"/>
    <cellWatch r="G26743"/>
    <cellWatch r="G26744"/>
    <cellWatch r="G26745"/>
    <cellWatch r="G26746"/>
    <cellWatch r="G26747"/>
    <cellWatch r="G26748"/>
    <cellWatch r="G26749"/>
    <cellWatch r="G26750"/>
    <cellWatch r="G26751"/>
    <cellWatch r="G26752"/>
    <cellWatch r="G26753"/>
    <cellWatch r="G26754"/>
    <cellWatch r="G26755"/>
    <cellWatch r="G26756"/>
    <cellWatch r="G26757"/>
    <cellWatch r="G26758"/>
    <cellWatch r="G26759"/>
    <cellWatch r="G26760"/>
    <cellWatch r="G26761"/>
    <cellWatch r="G26762"/>
    <cellWatch r="G26763"/>
    <cellWatch r="G26764"/>
    <cellWatch r="G26765"/>
    <cellWatch r="G26766"/>
    <cellWatch r="G26767"/>
    <cellWatch r="G26768"/>
    <cellWatch r="G26769"/>
    <cellWatch r="G26770"/>
    <cellWatch r="G26771"/>
    <cellWatch r="G26772"/>
    <cellWatch r="G26773"/>
    <cellWatch r="G26774"/>
    <cellWatch r="G26775"/>
    <cellWatch r="G26776"/>
    <cellWatch r="G26777"/>
    <cellWatch r="G26778"/>
    <cellWatch r="G26779"/>
    <cellWatch r="G26780"/>
    <cellWatch r="G26781"/>
    <cellWatch r="G26782"/>
    <cellWatch r="G26783"/>
    <cellWatch r="G26784"/>
    <cellWatch r="G26785"/>
    <cellWatch r="G26786"/>
    <cellWatch r="G26787"/>
    <cellWatch r="G26788"/>
    <cellWatch r="G26789"/>
    <cellWatch r="G26790"/>
    <cellWatch r="G26791"/>
    <cellWatch r="G26792"/>
    <cellWatch r="G26793"/>
    <cellWatch r="G26794"/>
    <cellWatch r="G26795"/>
    <cellWatch r="G26796"/>
    <cellWatch r="G26797"/>
    <cellWatch r="G26798"/>
    <cellWatch r="G26799"/>
    <cellWatch r="G26800"/>
    <cellWatch r="G26801"/>
    <cellWatch r="G26802"/>
    <cellWatch r="G26803"/>
    <cellWatch r="G26804"/>
    <cellWatch r="G26805"/>
    <cellWatch r="G26806"/>
    <cellWatch r="G26807"/>
    <cellWatch r="G26808"/>
    <cellWatch r="G26809"/>
    <cellWatch r="G26810"/>
    <cellWatch r="G26811"/>
    <cellWatch r="G26812"/>
    <cellWatch r="G26813"/>
    <cellWatch r="G26814"/>
    <cellWatch r="G26815"/>
    <cellWatch r="G26816"/>
    <cellWatch r="G26817"/>
    <cellWatch r="G26818"/>
    <cellWatch r="G26819"/>
    <cellWatch r="G26820"/>
    <cellWatch r="G26821"/>
    <cellWatch r="G26822"/>
    <cellWatch r="G26823"/>
    <cellWatch r="G26824"/>
    <cellWatch r="G26825"/>
    <cellWatch r="G26826"/>
    <cellWatch r="G26827"/>
    <cellWatch r="G26828"/>
    <cellWatch r="G26829"/>
    <cellWatch r="G26830"/>
    <cellWatch r="G26831"/>
    <cellWatch r="G26832"/>
    <cellWatch r="G26833"/>
    <cellWatch r="G26834"/>
    <cellWatch r="G26835"/>
    <cellWatch r="G26836"/>
    <cellWatch r="G26837"/>
    <cellWatch r="G26838"/>
    <cellWatch r="G26839"/>
    <cellWatch r="G26840"/>
    <cellWatch r="G26841"/>
    <cellWatch r="G26842"/>
    <cellWatch r="G26843"/>
    <cellWatch r="G26844"/>
    <cellWatch r="G26845"/>
    <cellWatch r="G26846"/>
    <cellWatch r="G26847"/>
    <cellWatch r="G26848"/>
    <cellWatch r="G26849"/>
    <cellWatch r="G26850"/>
    <cellWatch r="G26851"/>
    <cellWatch r="G26852"/>
    <cellWatch r="G26853"/>
    <cellWatch r="G26854"/>
    <cellWatch r="G26855"/>
    <cellWatch r="G26856"/>
    <cellWatch r="G26857"/>
    <cellWatch r="G26858"/>
    <cellWatch r="G26859"/>
    <cellWatch r="G26860"/>
    <cellWatch r="G26861"/>
    <cellWatch r="G26862"/>
    <cellWatch r="G26863"/>
    <cellWatch r="G26864"/>
    <cellWatch r="G26865"/>
    <cellWatch r="G26866"/>
    <cellWatch r="G26867"/>
    <cellWatch r="G26868"/>
    <cellWatch r="G26869"/>
    <cellWatch r="G26870"/>
    <cellWatch r="G26871"/>
    <cellWatch r="G26872"/>
    <cellWatch r="G26873"/>
    <cellWatch r="G26874"/>
    <cellWatch r="G26875"/>
    <cellWatch r="G26876"/>
    <cellWatch r="G26877"/>
    <cellWatch r="G26878"/>
    <cellWatch r="G26879"/>
    <cellWatch r="G26880"/>
    <cellWatch r="G26881"/>
    <cellWatch r="G26882"/>
    <cellWatch r="G26883"/>
    <cellWatch r="G26884"/>
    <cellWatch r="G26885"/>
    <cellWatch r="G26886"/>
    <cellWatch r="G26887"/>
    <cellWatch r="G26888"/>
    <cellWatch r="G26889"/>
    <cellWatch r="G26890"/>
    <cellWatch r="G26891"/>
    <cellWatch r="G26892"/>
    <cellWatch r="G26893"/>
    <cellWatch r="G26894"/>
    <cellWatch r="G26895"/>
    <cellWatch r="G26896"/>
    <cellWatch r="G26897"/>
    <cellWatch r="G26898"/>
    <cellWatch r="G26899"/>
    <cellWatch r="G26900"/>
    <cellWatch r="G26901"/>
    <cellWatch r="G26902"/>
    <cellWatch r="G26903"/>
    <cellWatch r="G26904"/>
    <cellWatch r="G26905"/>
    <cellWatch r="G26906"/>
    <cellWatch r="G26907"/>
    <cellWatch r="G26908"/>
    <cellWatch r="G26909"/>
    <cellWatch r="G26910"/>
    <cellWatch r="G26911"/>
    <cellWatch r="G26912"/>
    <cellWatch r="G26913"/>
    <cellWatch r="G26914"/>
    <cellWatch r="G26915"/>
    <cellWatch r="G26916"/>
    <cellWatch r="G26917"/>
    <cellWatch r="G26918"/>
    <cellWatch r="G26919"/>
    <cellWatch r="G26920"/>
    <cellWatch r="G26921"/>
    <cellWatch r="G26922"/>
    <cellWatch r="G26923"/>
    <cellWatch r="G26924"/>
    <cellWatch r="G26925"/>
    <cellWatch r="G26926"/>
    <cellWatch r="G26927"/>
    <cellWatch r="G26928"/>
    <cellWatch r="G26929"/>
    <cellWatch r="G26930"/>
    <cellWatch r="G26931"/>
    <cellWatch r="G26932"/>
    <cellWatch r="G26933"/>
    <cellWatch r="G26934"/>
    <cellWatch r="G26935"/>
    <cellWatch r="G26936"/>
    <cellWatch r="G26937"/>
    <cellWatch r="G26938"/>
    <cellWatch r="G26939"/>
    <cellWatch r="G26940"/>
    <cellWatch r="G26941"/>
    <cellWatch r="G26942"/>
    <cellWatch r="G26943"/>
    <cellWatch r="G26944"/>
    <cellWatch r="G26945"/>
    <cellWatch r="G26946"/>
    <cellWatch r="G26947"/>
    <cellWatch r="G26948"/>
    <cellWatch r="G26949"/>
    <cellWatch r="G26950"/>
    <cellWatch r="G26951"/>
    <cellWatch r="G26952"/>
    <cellWatch r="G26953"/>
    <cellWatch r="G26954"/>
    <cellWatch r="G26955"/>
    <cellWatch r="G26956"/>
    <cellWatch r="G26957"/>
    <cellWatch r="G26958"/>
    <cellWatch r="G26959"/>
    <cellWatch r="G26960"/>
    <cellWatch r="G26961"/>
    <cellWatch r="G26962"/>
    <cellWatch r="G26963"/>
    <cellWatch r="G26964"/>
    <cellWatch r="G26965"/>
    <cellWatch r="G26966"/>
    <cellWatch r="G26967"/>
    <cellWatch r="G26968"/>
    <cellWatch r="G26969"/>
    <cellWatch r="G26970"/>
    <cellWatch r="G26971"/>
    <cellWatch r="G26972"/>
    <cellWatch r="G26973"/>
    <cellWatch r="G26974"/>
    <cellWatch r="G26975"/>
    <cellWatch r="G26976"/>
    <cellWatch r="G26977"/>
    <cellWatch r="G26978"/>
    <cellWatch r="G26979"/>
    <cellWatch r="G26980"/>
    <cellWatch r="G26981"/>
    <cellWatch r="G26982"/>
    <cellWatch r="G26983"/>
    <cellWatch r="G26984"/>
    <cellWatch r="G26985"/>
    <cellWatch r="G26986"/>
    <cellWatch r="G26987"/>
    <cellWatch r="G26988"/>
    <cellWatch r="G26989"/>
    <cellWatch r="G26990"/>
    <cellWatch r="G26991"/>
    <cellWatch r="G26992"/>
    <cellWatch r="G26993"/>
    <cellWatch r="G26994"/>
    <cellWatch r="G26995"/>
    <cellWatch r="G26996"/>
    <cellWatch r="G26997"/>
    <cellWatch r="G26998"/>
    <cellWatch r="G26999"/>
    <cellWatch r="G27000"/>
    <cellWatch r="G27001"/>
    <cellWatch r="G27002"/>
    <cellWatch r="G27003"/>
    <cellWatch r="G27004"/>
    <cellWatch r="G27005"/>
    <cellWatch r="G27006"/>
    <cellWatch r="G27007"/>
    <cellWatch r="G27008"/>
    <cellWatch r="G27009"/>
    <cellWatch r="G27010"/>
    <cellWatch r="G27011"/>
    <cellWatch r="G27012"/>
    <cellWatch r="G27013"/>
    <cellWatch r="G27014"/>
    <cellWatch r="G27015"/>
    <cellWatch r="G27016"/>
    <cellWatch r="G27017"/>
    <cellWatch r="G27018"/>
    <cellWatch r="G27019"/>
    <cellWatch r="G27020"/>
    <cellWatch r="G27021"/>
    <cellWatch r="G27022"/>
    <cellWatch r="G27023"/>
    <cellWatch r="G27024"/>
    <cellWatch r="G27025"/>
    <cellWatch r="G27026"/>
    <cellWatch r="G27027"/>
    <cellWatch r="G27028"/>
    <cellWatch r="G27029"/>
    <cellWatch r="G27030"/>
    <cellWatch r="G27031"/>
    <cellWatch r="G27032"/>
    <cellWatch r="G27033"/>
    <cellWatch r="G27034"/>
    <cellWatch r="G27035"/>
    <cellWatch r="G27036"/>
    <cellWatch r="G27037"/>
    <cellWatch r="G27038"/>
    <cellWatch r="G27039"/>
    <cellWatch r="G27040"/>
    <cellWatch r="G27041"/>
    <cellWatch r="G27042"/>
    <cellWatch r="G27043"/>
    <cellWatch r="G27044"/>
    <cellWatch r="G27045"/>
    <cellWatch r="G27046"/>
    <cellWatch r="G27047"/>
    <cellWatch r="G27048"/>
    <cellWatch r="G27049"/>
    <cellWatch r="G27050"/>
    <cellWatch r="G27051"/>
    <cellWatch r="G27052"/>
    <cellWatch r="G27053"/>
    <cellWatch r="G27054"/>
    <cellWatch r="G27055"/>
    <cellWatch r="G27056"/>
    <cellWatch r="G27057"/>
    <cellWatch r="G27058"/>
    <cellWatch r="G27059"/>
    <cellWatch r="G27060"/>
    <cellWatch r="G27061"/>
    <cellWatch r="G27062"/>
    <cellWatch r="G27063"/>
    <cellWatch r="G27064"/>
    <cellWatch r="G27065"/>
    <cellWatch r="G27066"/>
    <cellWatch r="G27067"/>
    <cellWatch r="G27068"/>
    <cellWatch r="G27069"/>
    <cellWatch r="G27070"/>
    <cellWatch r="G27071"/>
    <cellWatch r="G27072"/>
    <cellWatch r="G27073"/>
    <cellWatch r="G27074"/>
    <cellWatch r="G27075"/>
    <cellWatch r="G27076"/>
    <cellWatch r="G27077"/>
    <cellWatch r="G27078"/>
    <cellWatch r="G27079"/>
    <cellWatch r="G27080"/>
    <cellWatch r="G27081"/>
    <cellWatch r="G27082"/>
    <cellWatch r="G27083"/>
    <cellWatch r="G27084"/>
    <cellWatch r="G27085"/>
    <cellWatch r="G27086"/>
    <cellWatch r="G27087"/>
    <cellWatch r="G27088"/>
    <cellWatch r="G27089"/>
    <cellWatch r="G27090"/>
    <cellWatch r="G27091"/>
    <cellWatch r="G27092"/>
    <cellWatch r="G27093"/>
    <cellWatch r="G27094"/>
    <cellWatch r="G27095"/>
    <cellWatch r="G27096"/>
    <cellWatch r="G27097"/>
    <cellWatch r="G27098"/>
    <cellWatch r="G27099"/>
    <cellWatch r="G27100"/>
    <cellWatch r="G27101"/>
    <cellWatch r="G27102"/>
    <cellWatch r="G27103"/>
    <cellWatch r="G27104"/>
    <cellWatch r="G27105"/>
    <cellWatch r="G27106"/>
    <cellWatch r="G27107"/>
    <cellWatch r="G27108"/>
    <cellWatch r="G27109"/>
    <cellWatch r="G27110"/>
    <cellWatch r="G27111"/>
    <cellWatch r="G27112"/>
    <cellWatch r="G27113"/>
    <cellWatch r="G27114"/>
    <cellWatch r="G27115"/>
    <cellWatch r="G27116"/>
    <cellWatch r="G27117"/>
    <cellWatch r="G27118"/>
    <cellWatch r="G27119"/>
    <cellWatch r="G27120"/>
    <cellWatch r="G27121"/>
    <cellWatch r="G27122"/>
    <cellWatch r="G27123"/>
    <cellWatch r="G27124"/>
    <cellWatch r="G27125"/>
    <cellWatch r="G27126"/>
    <cellWatch r="G27127"/>
    <cellWatch r="G27128"/>
    <cellWatch r="G27129"/>
    <cellWatch r="G27130"/>
    <cellWatch r="G27131"/>
    <cellWatch r="G27132"/>
    <cellWatch r="G27133"/>
    <cellWatch r="G27134"/>
    <cellWatch r="G27135"/>
    <cellWatch r="G27136"/>
    <cellWatch r="G27137"/>
    <cellWatch r="G27138"/>
    <cellWatch r="G27139"/>
    <cellWatch r="G27140"/>
    <cellWatch r="G27141"/>
    <cellWatch r="G27142"/>
    <cellWatch r="G27143"/>
    <cellWatch r="G27144"/>
    <cellWatch r="G27145"/>
    <cellWatch r="G27146"/>
    <cellWatch r="G27147"/>
    <cellWatch r="G27148"/>
    <cellWatch r="G27149"/>
    <cellWatch r="G27150"/>
    <cellWatch r="G27151"/>
    <cellWatch r="G27152"/>
    <cellWatch r="G27153"/>
    <cellWatch r="G27154"/>
    <cellWatch r="G27155"/>
    <cellWatch r="G27156"/>
    <cellWatch r="G27157"/>
    <cellWatch r="G27158"/>
    <cellWatch r="G27159"/>
    <cellWatch r="G27160"/>
    <cellWatch r="G27161"/>
    <cellWatch r="G27162"/>
    <cellWatch r="G27163"/>
    <cellWatch r="G27164"/>
    <cellWatch r="G27165"/>
    <cellWatch r="G27166"/>
    <cellWatch r="G27167"/>
    <cellWatch r="G27168"/>
    <cellWatch r="G27169"/>
    <cellWatch r="G27170"/>
    <cellWatch r="G27171"/>
    <cellWatch r="G27172"/>
    <cellWatch r="G27173"/>
    <cellWatch r="G27174"/>
    <cellWatch r="G27175"/>
    <cellWatch r="G27176"/>
    <cellWatch r="G27177"/>
    <cellWatch r="G27178"/>
    <cellWatch r="G27179"/>
    <cellWatch r="G27180"/>
    <cellWatch r="G27181"/>
    <cellWatch r="G27182"/>
    <cellWatch r="G27183"/>
    <cellWatch r="G27184"/>
    <cellWatch r="G27185"/>
    <cellWatch r="G27186"/>
    <cellWatch r="G27187"/>
    <cellWatch r="G27188"/>
    <cellWatch r="G27189"/>
    <cellWatch r="G27190"/>
    <cellWatch r="G27191"/>
    <cellWatch r="G27192"/>
    <cellWatch r="G27193"/>
    <cellWatch r="G27194"/>
    <cellWatch r="G27195"/>
    <cellWatch r="G27196"/>
    <cellWatch r="G27197"/>
    <cellWatch r="G27198"/>
    <cellWatch r="G27199"/>
    <cellWatch r="G27200"/>
    <cellWatch r="G27201"/>
    <cellWatch r="G27202"/>
    <cellWatch r="G27203"/>
    <cellWatch r="G27204"/>
    <cellWatch r="G27205"/>
    <cellWatch r="G27206"/>
    <cellWatch r="G27207"/>
    <cellWatch r="G27208"/>
    <cellWatch r="G27209"/>
    <cellWatch r="G27210"/>
    <cellWatch r="G27211"/>
    <cellWatch r="G27212"/>
    <cellWatch r="G27213"/>
    <cellWatch r="G27214"/>
    <cellWatch r="G27215"/>
    <cellWatch r="G27216"/>
    <cellWatch r="G27217"/>
    <cellWatch r="G27218"/>
    <cellWatch r="G27219"/>
    <cellWatch r="G27220"/>
    <cellWatch r="G27221"/>
    <cellWatch r="G27222"/>
    <cellWatch r="G27223"/>
    <cellWatch r="G27224"/>
    <cellWatch r="G27225"/>
    <cellWatch r="G27226"/>
    <cellWatch r="G27227"/>
    <cellWatch r="G27228"/>
    <cellWatch r="G27229"/>
    <cellWatch r="G27230"/>
    <cellWatch r="G27231"/>
    <cellWatch r="G27232"/>
    <cellWatch r="G27233"/>
    <cellWatch r="G27234"/>
    <cellWatch r="G27235"/>
    <cellWatch r="G27236"/>
    <cellWatch r="G27237"/>
    <cellWatch r="G27238"/>
    <cellWatch r="G27239"/>
    <cellWatch r="G27240"/>
    <cellWatch r="G27241"/>
    <cellWatch r="G27242"/>
    <cellWatch r="G27243"/>
    <cellWatch r="G27244"/>
    <cellWatch r="G27245"/>
    <cellWatch r="G27246"/>
    <cellWatch r="G27247"/>
    <cellWatch r="G27248"/>
    <cellWatch r="G27249"/>
    <cellWatch r="G27250"/>
    <cellWatch r="G27251"/>
    <cellWatch r="G27252"/>
    <cellWatch r="G27253"/>
    <cellWatch r="G27254"/>
    <cellWatch r="G27255"/>
    <cellWatch r="G27256"/>
    <cellWatch r="G27257"/>
    <cellWatch r="G27258"/>
    <cellWatch r="G27259"/>
    <cellWatch r="G27260"/>
    <cellWatch r="G27261"/>
    <cellWatch r="G27262"/>
    <cellWatch r="G27263"/>
    <cellWatch r="G27264"/>
    <cellWatch r="G27265"/>
    <cellWatch r="G27266"/>
    <cellWatch r="G27267"/>
    <cellWatch r="G27268"/>
    <cellWatch r="G27269"/>
    <cellWatch r="G27270"/>
    <cellWatch r="G27271"/>
    <cellWatch r="G27272"/>
    <cellWatch r="G27273"/>
    <cellWatch r="G27274"/>
    <cellWatch r="G27275"/>
    <cellWatch r="G27276"/>
    <cellWatch r="G27277"/>
    <cellWatch r="G27278"/>
    <cellWatch r="G27279"/>
    <cellWatch r="G27280"/>
    <cellWatch r="G27281"/>
    <cellWatch r="G27282"/>
    <cellWatch r="G27283"/>
    <cellWatch r="G27284"/>
    <cellWatch r="G27285"/>
    <cellWatch r="G27286"/>
    <cellWatch r="G27287"/>
    <cellWatch r="G27288"/>
    <cellWatch r="G27289"/>
    <cellWatch r="G27290"/>
    <cellWatch r="G27291"/>
    <cellWatch r="G27292"/>
    <cellWatch r="G27293"/>
    <cellWatch r="G27294"/>
    <cellWatch r="G27295"/>
    <cellWatch r="G27296"/>
    <cellWatch r="G27297"/>
    <cellWatch r="G27298"/>
    <cellWatch r="G27299"/>
    <cellWatch r="G27300"/>
    <cellWatch r="G27301"/>
    <cellWatch r="G27302"/>
    <cellWatch r="G27303"/>
    <cellWatch r="G27304"/>
    <cellWatch r="G27305"/>
    <cellWatch r="G27306"/>
    <cellWatch r="G27307"/>
    <cellWatch r="G27308"/>
    <cellWatch r="G27309"/>
    <cellWatch r="G27310"/>
    <cellWatch r="G27311"/>
    <cellWatch r="G27312"/>
    <cellWatch r="G27313"/>
    <cellWatch r="G27314"/>
    <cellWatch r="G27315"/>
    <cellWatch r="G27316"/>
    <cellWatch r="G27317"/>
    <cellWatch r="G27318"/>
    <cellWatch r="G27319"/>
    <cellWatch r="G27320"/>
    <cellWatch r="G27321"/>
    <cellWatch r="G27322"/>
    <cellWatch r="G27323"/>
    <cellWatch r="G27324"/>
    <cellWatch r="G27325"/>
    <cellWatch r="G27326"/>
    <cellWatch r="G27327"/>
    <cellWatch r="G27328"/>
    <cellWatch r="G27329"/>
    <cellWatch r="G27330"/>
    <cellWatch r="G27331"/>
    <cellWatch r="G27332"/>
    <cellWatch r="G27333"/>
    <cellWatch r="G27334"/>
    <cellWatch r="G27335"/>
    <cellWatch r="G27336"/>
    <cellWatch r="G27337"/>
    <cellWatch r="G27338"/>
    <cellWatch r="G27339"/>
    <cellWatch r="G27340"/>
    <cellWatch r="G27341"/>
    <cellWatch r="G27342"/>
    <cellWatch r="G27343"/>
    <cellWatch r="G27344"/>
    <cellWatch r="G27345"/>
    <cellWatch r="G27346"/>
    <cellWatch r="G27347"/>
    <cellWatch r="G27348"/>
    <cellWatch r="G27349"/>
    <cellWatch r="G27350"/>
    <cellWatch r="G27351"/>
    <cellWatch r="G27352"/>
    <cellWatch r="G27353"/>
    <cellWatch r="G27354"/>
    <cellWatch r="G27355"/>
    <cellWatch r="G27356"/>
    <cellWatch r="G27357"/>
    <cellWatch r="G27358"/>
    <cellWatch r="G27359"/>
    <cellWatch r="G27360"/>
    <cellWatch r="G27361"/>
    <cellWatch r="G27362"/>
    <cellWatch r="G27363"/>
    <cellWatch r="G27364"/>
    <cellWatch r="G27365"/>
    <cellWatch r="G27366"/>
    <cellWatch r="G27367"/>
    <cellWatch r="G27368"/>
    <cellWatch r="G27369"/>
    <cellWatch r="G27370"/>
    <cellWatch r="G27371"/>
    <cellWatch r="G27372"/>
    <cellWatch r="G27373"/>
    <cellWatch r="G27374"/>
    <cellWatch r="G27375"/>
    <cellWatch r="G27376"/>
    <cellWatch r="G27377"/>
    <cellWatch r="G27378"/>
    <cellWatch r="G27379"/>
    <cellWatch r="G27380"/>
    <cellWatch r="G27381"/>
    <cellWatch r="G27382"/>
    <cellWatch r="G27383"/>
    <cellWatch r="G27384"/>
    <cellWatch r="G27385"/>
    <cellWatch r="G27386"/>
    <cellWatch r="G27387"/>
    <cellWatch r="G27388"/>
    <cellWatch r="G27389"/>
    <cellWatch r="G27390"/>
    <cellWatch r="G27391"/>
    <cellWatch r="G27392"/>
    <cellWatch r="G27393"/>
    <cellWatch r="G27394"/>
    <cellWatch r="G27395"/>
    <cellWatch r="G27396"/>
    <cellWatch r="G27397"/>
    <cellWatch r="G27398"/>
    <cellWatch r="G27399"/>
    <cellWatch r="G27400"/>
    <cellWatch r="G27401"/>
    <cellWatch r="G27402"/>
    <cellWatch r="G27403"/>
    <cellWatch r="G27404"/>
    <cellWatch r="G27405"/>
    <cellWatch r="G27406"/>
    <cellWatch r="G27407"/>
    <cellWatch r="G27408"/>
    <cellWatch r="G27409"/>
    <cellWatch r="G27410"/>
    <cellWatch r="G27411"/>
    <cellWatch r="G27412"/>
    <cellWatch r="G27413"/>
    <cellWatch r="G27414"/>
    <cellWatch r="G27415"/>
    <cellWatch r="G27416"/>
    <cellWatch r="G27417"/>
    <cellWatch r="G27418"/>
    <cellWatch r="G27419"/>
    <cellWatch r="G27420"/>
    <cellWatch r="G27421"/>
    <cellWatch r="G27422"/>
    <cellWatch r="G27423"/>
    <cellWatch r="G27424"/>
    <cellWatch r="G27425"/>
    <cellWatch r="G27426"/>
    <cellWatch r="G27427"/>
    <cellWatch r="G27428"/>
    <cellWatch r="G27429"/>
    <cellWatch r="G27430"/>
    <cellWatch r="G27431"/>
    <cellWatch r="G27432"/>
    <cellWatch r="G27433"/>
    <cellWatch r="G27434"/>
    <cellWatch r="G27435"/>
    <cellWatch r="G27436"/>
    <cellWatch r="G27437"/>
    <cellWatch r="G27438"/>
    <cellWatch r="G27439"/>
    <cellWatch r="G27440"/>
    <cellWatch r="G27441"/>
    <cellWatch r="G27442"/>
    <cellWatch r="G27443"/>
    <cellWatch r="G27444"/>
    <cellWatch r="G27445"/>
    <cellWatch r="G27446"/>
    <cellWatch r="G27447"/>
    <cellWatch r="G27448"/>
    <cellWatch r="G27449"/>
    <cellWatch r="G27450"/>
    <cellWatch r="G27451"/>
    <cellWatch r="G27452"/>
    <cellWatch r="G27453"/>
    <cellWatch r="G27454"/>
    <cellWatch r="G27455"/>
    <cellWatch r="G27456"/>
    <cellWatch r="G27457"/>
    <cellWatch r="G27458"/>
    <cellWatch r="G27459"/>
    <cellWatch r="G27460"/>
    <cellWatch r="G27461"/>
    <cellWatch r="G27462"/>
    <cellWatch r="G27463"/>
    <cellWatch r="G27464"/>
    <cellWatch r="G27465"/>
    <cellWatch r="G27466"/>
    <cellWatch r="G27467"/>
    <cellWatch r="G27468"/>
    <cellWatch r="G27469"/>
    <cellWatch r="G27470"/>
    <cellWatch r="G27471"/>
    <cellWatch r="G27472"/>
    <cellWatch r="G27473"/>
    <cellWatch r="G27474"/>
    <cellWatch r="G27475"/>
    <cellWatch r="G27476"/>
    <cellWatch r="G27477"/>
    <cellWatch r="G27478"/>
    <cellWatch r="G27479"/>
    <cellWatch r="G27480"/>
    <cellWatch r="G27481"/>
    <cellWatch r="G27482"/>
    <cellWatch r="G27483"/>
    <cellWatch r="G27484"/>
    <cellWatch r="G27485"/>
    <cellWatch r="G27486"/>
    <cellWatch r="G27487"/>
    <cellWatch r="G27488"/>
    <cellWatch r="G27489"/>
    <cellWatch r="G27490"/>
    <cellWatch r="G27491"/>
    <cellWatch r="G27492"/>
    <cellWatch r="G27493"/>
    <cellWatch r="G27494"/>
    <cellWatch r="G27495"/>
    <cellWatch r="G27496"/>
    <cellWatch r="G27497"/>
    <cellWatch r="G27498"/>
    <cellWatch r="G27499"/>
    <cellWatch r="G27500"/>
    <cellWatch r="G27501"/>
    <cellWatch r="G27502"/>
    <cellWatch r="G27503"/>
    <cellWatch r="G27504"/>
    <cellWatch r="G27505"/>
    <cellWatch r="G27506"/>
    <cellWatch r="G27507"/>
    <cellWatch r="G27508"/>
    <cellWatch r="G27509"/>
    <cellWatch r="G27510"/>
    <cellWatch r="G27511"/>
    <cellWatch r="G27512"/>
    <cellWatch r="G27513"/>
    <cellWatch r="G27514"/>
    <cellWatch r="G27515"/>
    <cellWatch r="G27516"/>
    <cellWatch r="G27517"/>
    <cellWatch r="G27518"/>
    <cellWatch r="G27519"/>
    <cellWatch r="G27520"/>
    <cellWatch r="G27521"/>
    <cellWatch r="G27522"/>
    <cellWatch r="G27523"/>
    <cellWatch r="G27524"/>
    <cellWatch r="G27525"/>
    <cellWatch r="G27526"/>
    <cellWatch r="G27527"/>
    <cellWatch r="G27528"/>
    <cellWatch r="G27529"/>
    <cellWatch r="G27530"/>
    <cellWatch r="G27531"/>
    <cellWatch r="G27532"/>
    <cellWatch r="G27533"/>
    <cellWatch r="G27534"/>
    <cellWatch r="G27535"/>
    <cellWatch r="G27536"/>
    <cellWatch r="G27537"/>
    <cellWatch r="G27538"/>
    <cellWatch r="G27539"/>
    <cellWatch r="G27540"/>
    <cellWatch r="G27541"/>
    <cellWatch r="G27542"/>
    <cellWatch r="G27543"/>
    <cellWatch r="G27544"/>
    <cellWatch r="G27545"/>
    <cellWatch r="G27546"/>
    <cellWatch r="G27547"/>
    <cellWatch r="G27548"/>
    <cellWatch r="G27549"/>
    <cellWatch r="G27550"/>
    <cellWatch r="G27551"/>
    <cellWatch r="G27552"/>
    <cellWatch r="G27553"/>
    <cellWatch r="G27554"/>
    <cellWatch r="G27555"/>
    <cellWatch r="G27556"/>
    <cellWatch r="G27557"/>
    <cellWatch r="G27558"/>
    <cellWatch r="G27559"/>
    <cellWatch r="G27560"/>
    <cellWatch r="G27561"/>
    <cellWatch r="G27562"/>
    <cellWatch r="G27563"/>
    <cellWatch r="G27564"/>
    <cellWatch r="G27565"/>
    <cellWatch r="G27566"/>
    <cellWatch r="G27567"/>
    <cellWatch r="G27568"/>
    <cellWatch r="G27569"/>
    <cellWatch r="G27570"/>
    <cellWatch r="G27571"/>
    <cellWatch r="G27572"/>
    <cellWatch r="G27573"/>
    <cellWatch r="G27574"/>
    <cellWatch r="G27575"/>
    <cellWatch r="G27576"/>
    <cellWatch r="G27577"/>
    <cellWatch r="G27578"/>
    <cellWatch r="G27579"/>
    <cellWatch r="G27580"/>
    <cellWatch r="G27581"/>
    <cellWatch r="G27582"/>
    <cellWatch r="G27583"/>
    <cellWatch r="G27584"/>
    <cellWatch r="G27585"/>
    <cellWatch r="G27586"/>
    <cellWatch r="G27587"/>
    <cellWatch r="G27588"/>
    <cellWatch r="G27589"/>
    <cellWatch r="G27590"/>
    <cellWatch r="G27591"/>
    <cellWatch r="G27592"/>
    <cellWatch r="G27593"/>
    <cellWatch r="G27594"/>
    <cellWatch r="G27595"/>
    <cellWatch r="G27596"/>
    <cellWatch r="G27597"/>
    <cellWatch r="G27598"/>
    <cellWatch r="G27599"/>
    <cellWatch r="G27600"/>
    <cellWatch r="G27601"/>
    <cellWatch r="G27602"/>
    <cellWatch r="G27603"/>
    <cellWatch r="G27604"/>
    <cellWatch r="G27605"/>
    <cellWatch r="G27606"/>
    <cellWatch r="G27607"/>
    <cellWatch r="G27608"/>
    <cellWatch r="G27609"/>
    <cellWatch r="G27610"/>
    <cellWatch r="G27611"/>
    <cellWatch r="G27612"/>
    <cellWatch r="G27613"/>
    <cellWatch r="G27614"/>
    <cellWatch r="G27615"/>
    <cellWatch r="G27616"/>
    <cellWatch r="G27617"/>
    <cellWatch r="G27618"/>
    <cellWatch r="G27619"/>
    <cellWatch r="G27620"/>
    <cellWatch r="G27621"/>
    <cellWatch r="G27622"/>
    <cellWatch r="G27623"/>
    <cellWatch r="G27624"/>
    <cellWatch r="G27625"/>
    <cellWatch r="G27626"/>
    <cellWatch r="G27627"/>
    <cellWatch r="G27628"/>
    <cellWatch r="G27629"/>
    <cellWatch r="G27630"/>
    <cellWatch r="G27631"/>
    <cellWatch r="G27632"/>
    <cellWatch r="G27633"/>
    <cellWatch r="G27634"/>
    <cellWatch r="G27635"/>
    <cellWatch r="G27636"/>
    <cellWatch r="G27637"/>
    <cellWatch r="G27638"/>
    <cellWatch r="G27639"/>
    <cellWatch r="G27640"/>
    <cellWatch r="G27641"/>
    <cellWatch r="G27642"/>
    <cellWatch r="G27643"/>
    <cellWatch r="G27644"/>
    <cellWatch r="G27645"/>
    <cellWatch r="G27646"/>
    <cellWatch r="G27647"/>
    <cellWatch r="G27648"/>
    <cellWatch r="G27649"/>
    <cellWatch r="G27650"/>
    <cellWatch r="G27651"/>
    <cellWatch r="G27652"/>
    <cellWatch r="G27653"/>
    <cellWatch r="G27654"/>
    <cellWatch r="G27655"/>
    <cellWatch r="G27656"/>
    <cellWatch r="G27657"/>
    <cellWatch r="G27658"/>
    <cellWatch r="G27659"/>
    <cellWatch r="G27660"/>
    <cellWatch r="G27661"/>
    <cellWatch r="G27662"/>
    <cellWatch r="G27663"/>
    <cellWatch r="G27664"/>
    <cellWatch r="G27665"/>
    <cellWatch r="G27666"/>
    <cellWatch r="G27667"/>
    <cellWatch r="G27668"/>
    <cellWatch r="G27669"/>
    <cellWatch r="G27670"/>
    <cellWatch r="G27671"/>
    <cellWatch r="G27672"/>
    <cellWatch r="G27673"/>
    <cellWatch r="G27674"/>
    <cellWatch r="G27675"/>
    <cellWatch r="G27676"/>
    <cellWatch r="G27677"/>
    <cellWatch r="G27678"/>
    <cellWatch r="G27679"/>
    <cellWatch r="G27680"/>
    <cellWatch r="G27681"/>
    <cellWatch r="G27682"/>
    <cellWatch r="G27683"/>
    <cellWatch r="G27684"/>
    <cellWatch r="G27685"/>
    <cellWatch r="G27686"/>
    <cellWatch r="G27687"/>
    <cellWatch r="G27688"/>
    <cellWatch r="G27689"/>
    <cellWatch r="G27690"/>
    <cellWatch r="G27691"/>
    <cellWatch r="G27692"/>
    <cellWatch r="G27693"/>
    <cellWatch r="G27694"/>
    <cellWatch r="G27695"/>
    <cellWatch r="G27696"/>
    <cellWatch r="G27697"/>
    <cellWatch r="G27698"/>
    <cellWatch r="G27699"/>
    <cellWatch r="G27700"/>
    <cellWatch r="G27701"/>
    <cellWatch r="G27702"/>
    <cellWatch r="G27703"/>
    <cellWatch r="G27704"/>
    <cellWatch r="G27705"/>
    <cellWatch r="G27706"/>
    <cellWatch r="G27707"/>
    <cellWatch r="G27708"/>
    <cellWatch r="G27709"/>
    <cellWatch r="G27710"/>
    <cellWatch r="G27711"/>
    <cellWatch r="G27712"/>
    <cellWatch r="G27713"/>
    <cellWatch r="G27714"/>
    <cellWatch r="G27715"/>
    <cellWatch r="G27716"/>
    <cellWatch r="G27717"/>
    <cellWatch r="G27718"/>
    <cellWatch r="G27719"/>
    <cellWatch r="G27720"/>
    <cellWatch r="G27721"/>
    <cellWatch r="G27722"/>
    <cellWatch r="G27723"/>
    <cellWatch r="G27724"/>
    <cellWatch r="G27725"/>
    <cellWatch r="G27726"/>
    <cellWatch r="G27727"/>
    <cellWatch r="G27728"/>
    <cellWatch r="G27729"/>
    <cellWatch r="G27730"/>
    <cellWatch r="G27731"/>
    <cellWatch r="G27732"/>
    <cellWatch r="G27733"/>
    <cellWatch r="G27734"/>
    <cellWatch r="G27735"/>
    <cellWatch r="G27736"/>
    <cellWatch r="G27737"/>
    <cellWatch r="G27738"/>
    <cellWatch r="G27739"/>
    <cellWatch r="G27740"/>
    <cellWatch r="G27741"/>
    <cellWatch r="G27742"/>
    <cellWatch r="G27743"/>
    <cellWatch r="G27744"/>
    <cellWatch r="G27745"/>
    <cellWatch r="G27746"/>
    <cellWatch r="G27747"/>
    <cellWatch r="G27748"/>
    <cellWatch r="G27749"/>
    <cellWatch r="G27750"/>
    <cellWatch r="G27751"/>
    <cellWatch r="G27752"/>
    <cellWatch r="G27753"/>
    <cellWatch r="G27754"/>
    <cellWatch r="G27755"/>
    <cellWatch r="G27756"/>
    <cellWatch r="G27757"/>
    <cellWatch r="G27758"/>
    <cellWatch r="G27759"/>
    <cellWatch r="G27760"/>
    <cellWatch r="G27761"/>
    <cellWatch r="G27762"/>
    <cellWatch r="G27763"/>
    <cellWatch r="G27764"/>
    <cellWatch r="G27765"/>
    <cellWatch r="G27766"/>
    <cellWatch r="G27767"/>
    <cellWatch r="G27768"/>
    <cellWatch r="G27769"/>
    <cellWatch r="G27770"/>
    <cellWatch r="G27771"/>
    <cellWatch r="G27772"/>
    <cellWatch r="G27773"/>
    <cellWatch r="G27774"/>
    <cellWatch r="G27775"/>
    <cellWatch r="G27776"/>
    <cellWatch r="G27777"/>
    <cellWatch r="G27778"/>
    <cellWatch r="G27779"/>
    <cellWatch r="G27780"/>
    <cellWatch r="G27781"/>
    <cellWatch r="G27782"/>
    <cellWatch r="G27783"/>
    <cellWatch r="G27784"/>
    <cellWatch r="G27785"/>
    <cellWatch r="G27786"/>
    <cellWatch r="G27787"/>
    <cellWatch r="G27788"/>
    <cellWatch r="G27789"/>
    <cellWatch r="G27790"/>
    <cellWatch r="G27791"/>
    <cellWatch r="G27792"/>
    <cellWatch r="G27793"/>
    <cellWatch r="G27794"/>
    <cellWatch r="G27795"/>
    <cellWatch r="G27796"/>
    <cellWatch r="G27797"/>
    <cellWatch r="G27798"/>
    <cellWatch r="G27799"/>
    <cellWatch r="G27800"/>
    <cellWatch r="G27801"/>
    <cellWatch r="G27802"/>
    <cellWatch r="G27803"/>
    <cellWatch r="G27804"/>
    <cellWatch r="G27805"/>
    <cellWatch r="G27806"/>
    <cellWatch r="G27807"/>
    <cellWatch r="G27808"/>
    <cellWatch r="G27809"/>
    <cellWatch r="G27810"/>
    <cellWatch r="G27811"/>
    <cellWatch r="G27812"/>
    <cellWatch r="G27813"/>
    <cellWatch r="G27814"/>
    <cellWatch r="G27815"/>
    <cellWatch r="G27816"/>
    <cellWatch r="G27817"/>
    <cellWatch r="G27818"/>
    <cellWatch r="G27819"/>
    <cellWatch r="G27820"/>
    <cellWatch r="G27821"/>
    <cellWatch r="G27822"/>
    <cellWatch r="G27823"/>
    <cellWatch r="G27824"/>
    <cellWatch r="G27825"/>
    <cellWatch r="G27826"/>
    <cellWatch r="G27827"/>
    <cellWatch r="G27828"/>
    <cellWatch r="G27829"/>
    <cellWatch r="G27830"/>
    <cellWatch r="G27831"/>
    <cellWatch r="G27832"/>
    <cellWatch r="G27833"/>
    <cellWatch r="G27834"/>
    <cellWatch r="G27835"/>
    <cellWatch r="G27836"/>
    <cellWatch r="G27837"/>
    <cellWatch r="G27838"/>
    <cellWatch r="G27839"/>
    <cellWatch r="G27840"/>
    <cellWatch r="G27841"/>
    <cellWatch r="G27842"/>
    <cellWatch r="G27843"/>
    <cellWatch r="G27844"/>
    <cellWatch r="G27845"/>
    <cellWatch r="G27846"/>
    <cellWatch r="G27847"/>
    <cellWatch r="G27848"/>
    <cellWatch r="G27849"/>
    <cellWatch r="G27850"/>
    <cellWatch r="G27851"/>
    <cellWatch r="G27852"/>
    <cellWatch r="G27853"/>
    <cellWatch r="G27854"/>
    <cellWatch r="G27855"/>
    <cellWatch r="G27856"/>
    <cellWatch r="G27857"/>
    <cellWatch r="G27858"/>
    <cellWatch r="G27859"/>
    <cellWatch r="G27860"/>
    <cellWatch r="G27861"/>
    <cellWatch r="G27862"/>
    <cellWatch r="G27863"/>
    <cellWatch r="G27864"/>
    <cellWatch r="G27865"/>
    <cellWatch r="G27866"/>
    <cellWatch r="G27867"/>
    <cellWatch r="G27868"/>
    <cellWatch r="G27869"/>
    <cellWatch r="G27870"/>
    <cellWatch r="G27871"/>
    <cellWatch r="G27872"/>
    <cellWatch r="G27873"/>
    <cellWatch r="G27874"/>
    <cellWatch r="G27875"/>
    <cellWatch r="G27876"/>
    <cellWatch r="G27877"/>
    <cellWatch r="G27878"/>
    <cellWatch r="G27879"/>
    <cellWatch r="G27880"/>
    <cellWatch r="G27881"/>
    <cellWatch r="G27882"/>
    <cellWatch r="G27883"/>
    <cellWatch r="G27884"/>
    <cellWatch r="G27885"/>
    <cellWatch r="G27886"/>
    <cellWatch r="G27887"/>
    <cellWatch r="G27888"/>
    <cellWatch r="G27889"/>
    <cellWatch r="G27890"/>
    <cellWatch r="G27891"/>
    <cellWatch r="G27892"/>
    <cellWatch r="G27893"/>
    <cellWatch r="G27894"/>
    <cellWatch r="G27895"/>
    <cellWatch r="G27896"/>
    <cellWatch r="G27897"/>
    <cellWatch r="G27898"/>
    <cellWatch r="G27899"/>
    <cellWatch r="G27900"/>
    <cellWatch r="G27901"/>
    <cellWatch r="G27902"/>
    <cellWatch r="G27903"/>
    <cellWatch r="G27904"/>
    <cellWatch r="G27905"/>
    <cellWatch r="G27906"/>
    <cellWatch r="G27907"/>
    <cellWatch r="G27908"/>
    <cellWatch r="G27909"/>
    <cellWatch r="G27910"/>
    <cellWatch r="G27911"/>
    <cellWatch r="G27912"/>
    <cellWatch r="G27913"/>
    <cellWatch r="G27914"/>
    <cellWatch r="G27915"/>
    <cellWatch r="G27916"/>
    <cellWatch r="G27917"/>
    <cellWatch r="G27918"/>
    <cellWatch r="G27919"/>
    <cellWatch r="G27920"/>
    <cellWatch r="G27921"/>
    <cellWatch r="G27922"/>
    <cellWatch r="G27923"/>
    <cellWatch r="G27924"/>
    <cellWatch r="G27925"/>
    <cellWatch r="G27926"/>
    <cellWatch r="G27927"/>
    <cellWatch r="G27928"/>
    <cellWatch r="G27929"/>
    <cellWatch r="G27930"/>
    <cellWatch r="G27931"/>
    <cellWatch r="G27932"/>
    <cellWatch r="G27933"/>
    <cellWatch r="G27934"/>
    <cellWatch r="G27935"/>
    <cellWatch r="G27936"/>
    <cellWatch r="G27937"/>
    <cellWatch r="G27938"/>
    <cellWatch r="G27939"/>
    <cellWatch r="G27940"/>
    <cellWatch r="G27941"/>
    <cellWatch r="G27942"/>
    <cellWatch r="G27943"/>
    <cellWatch r="G27944"/>
    <cellWatch r="G27945"/>
    <cellWatch r="G27946"/>
    <cellWatch r="G27947"/>
    <cellWatch r="G27948"/>
    <cellWatch r="G27949"/>
    <cellWatch r="G27950"/>
    <cellWatch r="G27951"/>
    <cellWatch r="G27952"/>
    <cellWatch r="G27953"/>
    <cellWatch r="G27954"/>
    <cellWatch r="G27955"/>
    <cellWatch r="G27956"/>
    <cellWatch r="G27957"/>
    <cellWatch r="G27958"/>
    <cellWatch r="G27959"/>
    <cellWatch r="G27960"/>
    <cellWatch r="G27961"/>
    <cellWatch r="G27962"/>
    <cellWatch r="G27963"/>
    <cellWatch r="G27964"/>
    <cellWatch r="G27965"/>
    <cellWatch r="G27966"/>
    <cellWatch r="G27967"/>
    <cellWatch r="G27968"/>
    <cellWatch r="G27969"/>
    <cellWatch r="G27970"/>
    <cellWatch r="G27971"/>
    <cellWatch r="G27972"/>
    <cellWatch r="G27973"/>
    <cellWatch r="G27974"/>
    <cellWatch r="G27975"/>
    <cellWatch r="G27976"/>
    <cellWatch r="G27977"/>
    <cellWatch r="G27978"/>
    <cellWatch r="G27979"/>
    <cellWatch r="G27980"/>
    <cellWatch r="G27981"/>
    <cellWatch r="G27982"/>
    <cellWatch r="G27983"/>
    <cellWatch r="G27984"/>
    <cellWatch r="G27985"/>
    <cellWatch r="G27986"/>
    <cellWatch r="G27987"/>
    <cellWatch r="G27988"/>
    <cellWatch r="G27989"/>
    <cellWatch r="G27990"/>
    <cellWatch r="G27991"/>
    <cellWatch r="G27992"/>
    <cellWatch r="G27993"/>
    <cellWatch r="G27994"/>
    <cellWatch r="G27995"/>
    <cellWatch r="G27996"/>
    <cellWatch r="G27997"/>
    <cellWatch r="G27998"/>
    <cellWatch r="G27999"/>
    <cellWatch r="G28000"/>
    <cellWatch r="G28001"/>
    <cellWatch r="G28002"/>
    <cellWatch r="G28003"/>
    <cellWatch r="G28004"/>
    <cellWatch r="G28005"/>
    <cellWatch r="G28006"/>
    <cellWatch r="G28007"/>
    <cellWatch r="G28008"/>
    <cellWatch r="G28009"/>
    <cellWatch r="G28010"/>
    <cellWatch r="G28011"/>
    <cellWatch r="G28012"/>
    <cellWatch r="G28013"/>
    <cellWatch r="G28014"/>
    <cellWatch r="G28015"/>
    <cellWatch r="G28016"/>
    <cellWatch r="G28017"/>
    <cellWatch r="G28018"/>
    <cellWatch r="G28019"/>
    <cellWatch r="G28020"/>
    <cellWatch r="G28021"/>
    <cellWatch r="G28022"/>
    <cellWatch r="G28023"/>
    <cellWatch r="G28024"/>
    <cellWatch r="G28025"/>
    <cellWatch r="G28026"/>
    <cellWatch r="G28027"/>
    <cellWatch r="G28028"/>
    <cellWatch r="G28029"/>
    <cellWatch r="G28030"/>
    <cellWatch r="G28031"/>
    <cellWatch r="G28032"/>
    <cellWatch r="G28033"/>
    <cellWatch r="G28034"/>
    <cellWatch r="G28035"/>
    <cellWatch r="G28036"/>
    <cellWatch r="G28037"/>
    <cellWatch r="G28038"/>
    <cellWatch r="G28039"/>
    <cellWatch r="G28040"/>
    <cellWatch r="G28041"/>
    <cellWatch r="G28042"/>
    <cellWatch r="G28043"/>
    <cellWatch r="G28044"/>
    <cellWatch r="G28045"/>
    <cellWatch r="G28046"/>
    <cellWatch r="G28047"/>
    <cellWatch r="G28048"/>
    <cellWatch r="G28049"/>
    <cellWatch r="G28050"/>
    <cellWatch r="G28051"/>
    <cellWatch r="G28052"/>
    <cellWatch r="G28053"/>
    <cellWatch r="G28054"/>
    <cellWatch r="G28055"/>
    <cellWatch r="G28056"/>
    <cellWatch r="G28057"/>
    <cellWatch r="G28058"/>
    <cellWatch r="G28059"/>
    <cellWatch r="G28060"/>
    <cellWatch r="G28061"/>
    <cellWatch r="G28062"/>
    <cellWatch r="G28063"/>
    <cellWatch r="G28064"/>
    <cellWatch r="G28065"/>
    <cellWatch r="G28066"/>
    <cellWatch r="G28067"/>
    <cellWatch r="G28068"/>
    <cellWatch r="G28069"/>
    <cellWatch r="G28070"/>
    <cellWatch r="G28071"/>
    <cellWatch r="G28072"/>
    <cellWatch r="G28073"/>
    <cellWatch r="G28074"/>
    <cellWatch r="G28075"/>
    <cellWatch r="G28076"/>
    <cellWatch r="G28077"/>
    <cellWatch r="G28078"/>
    <cellWatch r="G28079"/>
    <cellWatch r="G28080"/>
    <cellWatch r="G28081"/>
    <cellWatch r="G28082"/>
    <cellWatch r="G28083"/>
    <cellWatch r="G28084"/>
    <cellWatch r="G28085"/>
    <cellWatch r="G28086"/>
    <cellWatch r="G28087"/>
    <cellWatch r="G28088"/>
    <cellWatch r="G28089"/>
    <cellWatch r="G28090"/>
    <cellWatch r="G28091"/>
    <cellWatch r="G28092"/>
    <cellWatch r="G28093"/>
    <cellWatch r="G28094"/>
    <cellWatch r="G28095"/>
    <cellWatch r="G28096"/>
    <cellWatch r="G28097"/>
    <cellWatch r="G28098"/>
    <cellWatch r="G28099"/>
    <cellWatch r="G28100"/>
    <cellWatch r="G28101"/>
    <cellWatch r="G28102"/>
    <cellWatch r="G28103"/>
    <cellWatch r="G28104"/>
    <cellWatch r="G28105"/>
    <cellWatch r="G28106"/>
    <cellWatch r="G28107"/>
    <cellWatch r="G28108"/>
    <cellWatch r="G28109"/>
    <cellWatch r="G28110"/>
    <cellWatch r="G28111"/>
    <cellWatch r="G28112"/>
    <cellWatch r="G28113"/>
    <cellWatch r="G28114"/>
    <cellWatch r="G28115"/>
    <cellWatch r="G28116"/>
    <cellWatch r="G28117"/>
    <cellWatch r="G28118"/>
    <cellWatch r="G28119"/>
    <cellWatch r="G28120"/>
    <cellWatch r="G28121"/>
    <cellWatch r="G28122"/>
    <cellWatch r="G28123"/>
    <cellWatch r="G28124"/>
    <cellWatch r="G28125"/>
    <cellWatch r="G28126"/>
    <cellWatch r="G28127"/>
    <cellWatch r="G28128"/>
    <cellWatch r="G28129"/>
    <cellWatch r="G28130"/>
    <cellWatch r="G28131"/>
    <cellWatch r="G28132"/>
    <cellWatch r="G28133"/>
    <cellWatch r="G28134"/>
    <cellWatch r="G28135"/>
    <cellWatch r="G28136"/>
    <cellWatch r="G28137"/>
    <cellWatch r="G28138"/>
    <cellWatch r="G28139"/>
    <cellWatch r="G28140"/>
    <cellWatch r="G28141"/>
    <cellWatch r="G28142"/>
    <cellWatch r="G28143"/>
    <cellWatch r="G28144"/>
    <cellWatch r="G28145"/>
    <cellWatch r="G28146"/>
    <cellWatch r="G28147"/>
    <cellWatch r="G28148"/>
    <cellWatch r="G28149"/>
    <cellWatch r="G28150"/>
    <cellWatch r="G28151"/>
    <cellWatch r="G28152"/>
    <cellWatch r="G28153"/>
    <cellWatch r="G28154"/>
    <cellWatch r="G28155"/>
    <cellWatch r="G28156"/>
    <cellWatch r="G28157"/>
    <cellWatch r="G28158"/>
    <cellWatch r="G28159"/>
    <cellWatch r="G28160"/>
    <cellWatch r="G28161"/>
    <cellWatch r="G28162"/>
    <cellWatch r="G28163"/>
    <cellWatch r="G28164"/>
    <cellWatch r="G28165"/>
    <cellWatch r="G28166"/>
    <cellWatch r="G28167"/>
    <cellWatch r="G28168"/>
    <cellWatch r="G28169"/>
    <cellWatch r="G28170"/>
    <cellWatch r="G28171"/>
    <cellWatch r="G28172"/>
    <cellWatch r="G28173"/>
    <cellWatch r="G28174"/>
    <cellWatch r="G28175"/>
    <cellWatch r="G28176"/>
    <cellWatch r="G28177"/>
    <cellWatch r="G28178"/>
    <cellWatch r="G28179"/>
    <cellWatch r="G28180"/>
    <cellWatch r="G28181"/>
    <cellWatch r="G28182"/>
    <cellWatch r="G28183"/>
    <cellWatch r="G28184"/>
    <cellWatch r="G28185"/>
    <cellWatch r="G28186"/>
    <cellWatch r="G28187"/>
    <cellWatch r="G28188"/>
    <cellWatch r="G28189"/>
    <cellWatch r="G28190"/>
    <cellWatch r="G28191"/>
    <cellWatch r="G28192"/>
    <cellWatch r="G28193"/>
    <cellWatch r="G28194"/>
    <cellWatch r="G28195"/>
    <cellWatch r="G28196"/>
    <cellWatch r="G28197"/>
    <cellWatch r="G28198"/>
    <cellWatch r="G28199"/>
    <cellWatch r="G28200"/>
    <cellWatch r="G28201"/>
    <cellWatch r="G28202"/>
    <cellWatch r="G28203"/>
    <cellWatch r="G28204"/>
    <cellWatch r="G28205"/>
    <cellWatch r="G28206"/>
    <cellWatch r="G28207"/>
    <cellWatch r="G28208"/>
    <cellWatch r="G28209"/>
    <cellWatch r="G28210"/>
    <cellWatch r="G28211"/>
    <cellWatch r="G28212"/>
    <cellWatch r="G28213"/>
    <cellWatch r="G28214"/>
    <cellWatch r="G28215"/>
    <cellWatch r="G28216"/>
    <cellWatch r="G28217"/>
    <cellWatch r="G28218"/>
    <cellWatch r="G28219"/>
    <cellWatch r="G28220"/>
    <cellWatch r="G28221"/>
    <cellWatch r="G28222"/>
    <cellWatch r="G28223"/>
    <cellWatch r="G28224"/>
    <cellWatch r="G28225"/>
    <cellWatch r="G28226"/>
    <cellWatch r="G28227"/>
    <cellWatch r="G28228"/>
    <cellWatch r="G28229"/>
    <cellWatch r="G28230"/>
    <cellWatch r="G28231"/>
    <cellWatch r="G28232"/>
    <cellWatch r="G28233"/>
    <cellWatch r="G28234"/>
    <cellWatch r="G28235"/>
    <cellWatch r="G28236"/>
    <cellWatch r="G28237"/>
    <cellWatch r="G28238"/>
    <cellWatch r="G28239"/>
    <cellWatch r="G28240"/>
    <cellWatch r="G28241"/>
    <cellWatch r="G28242"/>
    <cellWatch r="G28243"/>
    <cellWatch r="G28244"/>
    <cellWatch r="G28245"/>
    <cellWatch r="G28246"/>
    <cellWatch r="G28247"/>
    <cellWatch r="G28248"/>
    <cellWatch r="G28249"/>
    <cellWatch r="G28250"/>
    <cellWatch r="G28251"/>
    <cellWatch r="G28252"/>
    <cellWatch r="G28253"/>
    <cellWatch r="G28254"/>
    <cellWatch r="G28255"/>
    <cellWatch r="G28256"/>
    <cellWatch r="G28257"/>
    <cellWatch r="G28258"/>
    <cellWatch r="G28259"/>
    <cellWatch r="G28260"/>
    <cellWatch r="G28261"/>
    <cellWatch r="G28262"/>
    <cellWatch r="G28263"/>
    <cellWatch r="G28264"/>
    <cellWatch r="G28265"/>
    <cellWatch r="G28266"/>
    <cellWatch r="G28267"/>
    <cellWatch r="G28268"/>
    <cellWatch r="G28269"/>
    <cellWatch r="G28270"/>
    <cellWatch r="G28271"/>
    <cellWatch r="G28272"/>
    <cellWatch r="G28273"/>
    <cellWatch r="G28274"/>
    <cellWatch r="G28275"/>
    <cellWatch r="G28276"/>
    <cellWatch r="G28277"/>
    <cellWatch r="G28278"/>
    <cellWatch r="G28279"/>
    <cellWatch r="G28280"/>
    <cellWatch r="G28281"/>
    <cellWatch r="G28282"/>
    <cellWatch r="G28283"/>
    <cellWatch r="G28284"/>
    <cellWatch r="G28285"/>
    <cellWatch r="G28286"/>
    <cellWatch r="G28287"/>
    <cellWatch r="G28288"/>
    <cellWatch r="G28289"/>
    <cellWatch r="G28290"/>
    <cellWatch r="G28291"/>
    <cellWatch r="G28292"/>
    <cellWatch r="G28293"/>
    <cellWatch r="G28294"/>
    <cellWatch r="G28295"/>
    <cellWatch r="G28296"/>
    <cellWatch r="G28297"/>
    <cellWatch r="G28298"/>
    <cellWatch r="G28299"/>
    <cellWatch r="G28300"/>
    <cellWatch r="G28301"/>
    <cellWatch r="G28302"/>
    <cellWatch r="G28303"/>
    <cellWatch r="G28304"/>
    <cellWatch r="G28305"/>
    <cellWatch r="G28306"/>
    <cellWatch r="G28307"/>
    <cellWatch r="G28308"/>
    <cellWatch r="G28309"/>
    <cellWatch r="G28310"/>
    <cellWatch r="G28311"/>
    <cellWatch r="G28312"/>
    <cellWatch r="G28313"/>
    <cellWatch r="G28314"/>
    <cellWatch r="G28315"/>
    <cellWatch r="G28316"/>
    <cellWatch r="G28317"/>
    <cellWatch r="G28318"/>
    <cellWatch r="G28319"/>
    <cellWatch r="G28320"/>
    <cellWatch r="G28321"/>
    <cellWatch r="G28322"/>
    <cellWatch r="G28323"/>
    <cellWatch r="G28324"/>
    <cellWatch r="G28325"/>
    <cellWatch r="G28326"/>
    <cellWatch r="G28327"/>
    <cellWatch r="G28328"/>
    <cellWatch r="G28329"/>
    <cellWatch r="G28330"/>
    <cellWatch r="G28331"/>
    <cellWatch r="G28332"/>
    <cellWatch r="G28333"/>
    <cellWatch r="G28334"/>
    <cellWatch r="G28335"/>
    <cellWatch r="G28336"/>
    <cellWatch r="G28337"/>
    <cellWatch r="G28338"/>
    <cellWatch r="G28339"/>
    <cellWatch r="G28340"/>
    <cellWatch r="G28341"/>
    <cellWatch r="G28342"/>
    <cellWatch r="G28343"/>
    <cellWatch r="G28344"/>
    <cellWatch r="G28345"/>
    <cellWatch r="G28346"/>
    <cellWatch r="G28347"/>
    <cellWatch r="G28348"/>
    <cellWatch r="G28349"/>
    <cellWatch r="G28350"/>
    <cellWatch r="G28351"/>
    <cellWatch r="G28352"/>
    <cellWatch r="G28353"/>
    <cellWatch r="G28354"/>
    <cellWatch r="G28355"/>
    <cellWatch r="G28356"/>
    <cellWatch r="G28357"/>
    <cellWatch r="G28358"/>
    <cellWatch r="G28359"/>
    <cellWatch r="G28360"/>
    <cellWatch r="G28361"/>
    <cellWatch r="G28362"/>
    <cellWatch r="G28363"/>
    <cellWatch r="G28364"/>
    <cellWatch r="G28365"/>
    <cellWatch r="G28366"/>
    <cellWatch r="G28367"/>
    <cellWatch r="G28368"/>
    <cellWatch r="G28369"/>
    <cellWatch r="G28370"/>
    <cellWatch r="G28371"/>
    <cellWatch r="G28372"/>
    <cellWatch r="G28373"/>
    <cellWatch r="G28374"/>
    <cellWatch r="G28375"/>
    <cellWatch r="G28376"/>
    <cellWatch r="G28377"/>
    <cellWatch r="G28378"/>
    <cellWatch r="G28379"/>
    <cellWatch r="G28380"/>
    <cellWatch r="G28381"/>
    <cellWatch r="G28382"/>
    <cellWatch r="G28383"/>
    <cellWatch r="G28384"/>
    <cellWatch r="G28385"/>
    <cellWatch r="G28386"/>
    <cellWatch r="G28387"/>
    <cellWatch r="G28388"/>
    <cellWatch r="G28389"/>
    <cellWatch r="G28390"/>
    <cellWatch r="G28391"/>
    <cellWatch r="G28392"/>
    <cellWatch r="G28393"/>
    <cellWatch r="G28394"/>
    <cellWatch r="G28395"/>
    <cellWatch r="G28396"/>
    <cellWatch r="G28397"/>
    <cellWatch r="G28398"/>
    <cellWatch r="G28399"/>
    <cellWatch r="G28400"/>
    <cellWatch r="G28401"/>
    <cellWatch r="G28402"/>
    <cellWatch r="G28403"/>
    <cellWatch r="G28404"/>
    <cellWatch r="G28405"/>
    <cellWatch r="G28406"/>
    <cellWatch r="G28407"/>
    <cellWatch r="G28408"/>
    <cellWatch r="G28409"/>
    <cellWatch r="G28410"/>
    <cellWatch r="G28411"/>
    <cellWatch r="G28412"/>
    <cellWatch r="G28413"/>
    <cellWatch r="G28414"/>
    <cellWatch r="G28415"/>
    <cellWatch r="G28416"/>
    <cellWatch r="G28417"/>
    <cellWatch r="G28418"/>
    <cellWatch r="G28419"/>
    <cellWatch r="G28420"/>
    <cellWatch r="G28421"/>
    <cellWatch r="G28422"/>
    <cellWatch r="G28423"/>
    <cellWatch r="G28424"/>
    <cellWatch r="G28425"/>
    <cellWatch r="G28426"/>
    <cellWatch r="G28427"/>
    <cellWatch r="G28428"/>
    <cellWatch r="G28429"/>
    <cellWatch r="G28430"/>
    <cellWatch r="G28431"/>
    <cellWatch r="G28432"/>
    <cellWatch r="G28433"/>
    <cellWatch r="G28434"/>
    <cellWatch r="G28435"/>
    <cellWatch r="G28436"/>
    <cellWatch r="G28437"/>
    <cellWatch r="G28438"/>
    <cellWatch r="G28439"/>
    <cellWatch r="G28440"/>
    <cellWatch r="G28441"/>
    <cellWatch r="G28442"/>
    <cellWatch r="G28443"/>
    <cellWatch r="G28444"/>
    <cellWatch r="G28445"/>
    <cellWatch r="G28446"/>
    <cellWatch r="G28447"/>
    <cellWatch r="G28448"/>
    <cellWatch r="G28449"/>
    <cellWatch r="G28450"/>
    <cellWatch r="G28451"/>
    <cellWatch r="G28452"/>
    <cellWatch r="G28453"/>
    <cellWatch r="G28454"/>
    <cellWatch r="G28455"/>
    <cellWatch r="G28456"/>
    <cellWatch r="G28457"/>
    <cellWatch r="G28458"/>
    <cellWatch r="G28459"/>
    <cellWatch r="G28460"/>
    <cellWatch r="G28461"/>
    <cellWatch r="G28462"/>
    <cellWatch r="G28463"/>
    <cellWatch r="G28464"/>
    <cellWatch r="G28465"/>
    <cellWatch r="G28466"/>
    <cellWatch r="G28467"/>
    <cellWatch r="G28468"/>
    <cellWatch r="G28469"/>
    <cellWatch r="G28470"/>
    <cellWatch r="G28471"/>
    <cellWatch r="G28472"/>
    <cellWatch r="G28473"/>
    <cellWatch r="G28474"/>
    <cellWatch r="G28475"/>
    <cellWatch r="G28476"/>
    <cellWatch r="G28477"/>
    <cellWatch r="G28478"/>
    <cellWatch r="G28479"/>
    <cellWatch r="G28480"/>
    <cellWatch r="G28481"/>
    <cellWatch r="G28482"/>
    <cellWatch r="G28483"/>
    <cellWatch r="G28484"/>
    <cellWatch r="G28485"/>
    <cellWatch r="G28486"/>
    <cellWatch r="G28487"/>
    <cellWatch r="G28488"/>
    <cellWatch r="G28489"/>
    <cellWatch r="G28490"/>
    <cellWatch r="G28491"/>
    <cellWatch r="G28492"/>
    <cellWatch r="G28493"/>
    <cellWatch r="G28494"/>
    <cellWatch r="G28495"/>
    <cellWatch r="G28496"/>
    <cellWatch r="G28497"/>
    <cellWatch r="G28498"/>
    <cellWatch r="G28499"/>
    <cellWatch r="G28500"/>
    <cellWatch r="G28501"/>
    <cellWatch r="G28502"/>
    <cellWatch r="G28503"/>
    <cellWatch r="G28504"/>
    <cellWatch r="G28505"/>
    <cellWatch r="G28506"/>
    <cellWatch r="G28507"/>
    <cellWatch r="G28508"/>
    <cellWatch r="G28509"/>
    <cellWatch r="G28510"/>
    <cellWatch r="G28511"/>
    <cellWatch r="G28512"/>
    <cellWatch r="G28513"/>
    <cellWatch r="G28514"/>
    <cellWatch r="G28515"/>
    <cellWatch r="G28516"/>
    <cellWatch r="G28517"/>
    <cellWatch r="G28518"/>
    <cellWatch r="G28519"/>
    <cellWatch r="G28520"/>
    <cellWatch r="G28521"/>
    <cellWatch r="G28522"/>
    <cellWatch r="G28523"/>
    <cellWatch r="G28524"/>
    <cellWatch r="G28525"/>
    <cellWatch r="G28526"/>
    <cellWatch r="G28527"/>
    <cellWatch r="G28528"/>
    <cellWatch r="G28529"/>
    <cellWatch r="G28530"/>
    <cellWatch r="G28531"/>
    <cellWatch r="G28532"/>
    <cellWatch r="G28533"/>
    <cellWatch r="G28534"/>
    <cellWatch r="G28535"/>
    <cellWatch r="G28536"/>
    <cellWatch r="G28537"/>
    <cellWatch r="G28538"/>
    <cellWatch r="G28539"/>
    <cellWatch r="G28540"/>
    <cellWatch r="G28541"/>
    <cellWatch r="G28542"/>
    <cellWatch r="G28543"/>
    <cellWatch r="G28544"/>
    <cellWatch r="G28545"/>
    <cellWatch r="G28546"/>
    <cellWatch r="G28547"/>
    <cellWatch r="G28548"/>
    <cellWatch r="G28549"/>
    <cellWatch r="G28550"/>
    <cellWatch r="G28551"/>
    <cellWatch r="G28552"/>
    <cellWatch r="G28553"/>
    <cellWatch r="G28554"/>
    <cellWatch r="G28555"/>
    <cellWatch r="G28556"/>
    <cellWatch r="G28557"/>
    <cellWatch r="G28558"/>
    <cellWatch r="G28559"/>
    <cellWatch r="G28560"/>
    <cellWatch r="G28561"/>
    <cellWatch r="G28562"/>
    <cellWatch r="G28563"/>
    <cellWatch r="G28564"/>
    <cellWatch r="G28565"/>
    <cellWatch r="G28566"/>
    <cellWatch r="G28567"/>
    <cellWatch r="G28568"/>
    <cellWatch r="G28569"/>
    <cellWatch r="G28570"/>
    <cellWatch r="G28571"/>
    <cellWatch r="G28572"/>
    <cellWatch r="G28573"/>
    <cellWatch r="G28574"/>
    <cellWatch r="G28575"/>
    <cellWatch r="G28576"/>
    <cellWatch r="G28577"/>
    <cellWatch r="G28578"/>
    <cellWatch r="G28579"/>
    <cellWatch r="G28580"/>
    <cellWatch r="G28581"/>
    <cellWatch r="G28582"/>
    <cellWatch r="G28583"/>
    <cellWatch r="G28584"/>
    <cellWatch r="G28585"/>
    <cellWatch r="G28586"/>
    <cellWatch r="G28587"/>
    <cellWatch r="G28588"/>
    <cellWatch r="G28589"/>
    <cellWatch r="G28590"/>
    <cellWatch r="G28591"/>
    <cellWatch r="G28592"/>
    <cellWatch r="G28593"/>
    <cellWatch r="G28594"/>
    <cellWatch r="G28595"/>
    <cellWatch r="G28596"/>
    <cellWatch r="G28597"/>
    <cellWatch r="G28598"/>
    <cellWatch r="G28599"/>
    <cellWatch r="G28600"/>
    <cellWatch r="G28601"/>
    <cellWatch r="G28602"/>
    <cellWatch r="G28603"/>
    <cellWatch r="G28604"/>
    <cellWatch r="G28605"/>
    <cellWatch r="G28606"/>
    <cellWatch r="G28607"/>
    <cellWatch r="G28608"/>
    <cellWatch r="G28609"/>
    <cellWatch r="G28610"/>
    <cellWatch r="G28611"/>
    <cellWatch r="G28612"/>
    <cellWatch r="G28613"/>
    <cellWatch r="G28614"/>
    <cellWatch r="G28615"/>
    <cellWatch r="G28616"/>
    <cellWatch r="G28617"/>
    <cellWatch r="G28618"/>
    <cellWatch r="G28619"/>
    <cellWatch r="G28620"/>
    <cellWatch r="G28621"/>
    <cellWatch r="G28622"/>
    <cellWatch r="G28623"/>
    <cellWatch r="G28624"/>
    <cellWatch r="G28625"/>
    <cellWatch r="G28626"/>
    <cellWatch r="G28627"/>
    <cellWatch r="G28628"/>
    <cellWatch r="G28629"/>
    <cellWatch r="G28630"/>
    <cellWatch r="G28631"/>
    <cellWatch r="G28632"/>
    <cellWatch r="G28633"/>
    <cellWatch r="G28634"/>
    <cellWatch r="G28635"/>
    <cellWatch r="G28636"/>
    <cellWatch r="G28637"/>
    <cellWatch r="G28638"/>
    <cellWatch r="G28639"/>
    <cellWatch r="G28640"/>
    <cellWatch r="G28641"/>
    <cellWatch r="G28642"/>
    <cellWatch r="G28643"/>
    <cellWatch r="G28644"/>
    <cellWatch r="G28645"/>
    <cellWatch r="G28646"/>
    <cellWatch r="G28647"/>
    <cellWatch r="G28648"/>
    <cellWatch r="G28649"/>
    <cellWatch r="G28650"/>
    <cellWatch r="G28651"/>
    <cellWatch r="G28652"/>
    <cellWatch r="G28653"/>
    <cellWatch r="G28654"/>
    <cellWatch r="G28655"/>
    <cellWatch r="G28656"/>
    <cellWatch r="G28657"/>
    <cellWatch r="G28658"/>
    <cellWatch r="G28659"/>
    <cellWatch r="G28660"/>
    <cellWatch r="G28661"/>
    <cellWatch r="G28662"/>
    <cellWatch r="G28663"/>
    <cellWatch r="G28664"/>
    <cellWatch r="G28665"/>
    <cellWatch r="G28666"/>
    <cellWatch r="G28667"/>
    <cellWatch r="G28668"/>
    <cellWatch r="G28669"/>
    <cellWatch r="G28670"/>
    <cellWatch r="G28671"/>
    <cellWatch r="G28672"/>
    <cellWatch r="G28673"/>
    <cellWatch r="G28674"/>
    <cellWatch r="G28675"/>
    <cellWatch r="G28676"/>
    <cellWatch r="G28677"/>
    <cellWatch r="G28678"/>
    <cellWatch r="G28679"/>
    <cellWatch r="G28680"/>
    <cellWatch r="G28681"/>
    <cellWatch r="G28682"/>
    <cellWatch r="G28683"/>
    <cellWatch r="G28684"/>
    <cellWatch r="G28685"/>
    <cellWatch r="G28686"/>
    <cellWatch r="G28687"/>
    <cellWatch r="G28688"/>
    <cellWatch r="G28689"/>
    <cellWatch r="G28690"/>
    <cellWatch r="G28691"/>
    <cellWatch r="G28692"/>
    <cellWatch r="G28693"/>
    <cellWatch r="G28694"/>
    <cellWatch r="G28695"/>
    <cellWatch r="G28696"/>
    <cellWatch r="G28697"/>
    <cellWatch r="G28698"/>
    <cellWatch r="G28699"/>
    <cellWatch r="G28700"/>
    <cellWatch r="G28701"/>
    <cellWatch r="G28702"/>
    <cellWatch r="G28703"/>
    <cellWatch r="G28704"/>
    <cellWatch r="G28705"/>
    <cellWatch r="G28706"/>
    <cellWatch r="G28707"/>
    <cellWatch r="G28708"/>
    <cellWatch r="G28709"/>
    <cellWatch r="G28710"/>
    <cellWatch r="G28711"/>
    <cellWatch r="G28712"/>
    <cellWatch r="G28713"/>
    <cellWatch r="G28714"/>
    <cellWatch r="G28715"/>
    <cellWatch r="G28716"/>
    <cellWatch r="G28717"/>
    <cellWatch r="G28718"/>
    <cellWatch r="G28719"/>
    <cellWatch r="G28720"/>
    <cellWatch r="G28721"/>
    <cellWatch r="G28722"/>
    <cellWatch r="G28723"/>
    <cellWatch r="G28724"/>
    <cellWatch r="G28725"/>
    <cellWatch r="G28726"/>
    <cellWatch r="G28727"/>
    <cellWatch r="G28728"/>
    <cellWatch r="G28729"/>
    <cellWatch r="G28730"/>
    <cellWatch r="G28731"/>
    <cellWatch r="G28732"/>
    <cellWatch r="G28733"/>
    <cellWatch r="G28734"/>
    <cellWatch r="G28735"/>
    <cellWatch r="G28736"/>
    <cellWatch r="G28737"/>
    <cellWatch r="G28738"/>
    <cellWatch r="G28739"/>
    <cellWatch r="G28740"/>
    <cellWatch r="G28741"/>
    <cellWatch r="G28742"/>
    <cellWatch r="G28743"/>
    <cellWatch r="G28744"/>
    <cellWatch r="G28745"/>
    <cellWatch r="G28746"/>
    <cellWatch r="G28747"/>
    <cellWatch r="G28748"/>
    <cellWatch r="G28749"/>
    <cellWatch r="G28750"/>
    <cellWatch r="G28751"/>
    <cellWatch r="G28752"/>
    <cellWatch r="G28753"/>
    <cellWatch r="G28754"/>
    <cellWatch r="G28755"/>
    <cellWatch r="G28756"/>
    <cellWatch r="G28757"/>
    <cellWatch r="G28758"/>
    <cellWatch r="G28759"/>
    <cellWatch r="G28760"/>
    <cellWatch r="G28761"/>
    <cellWatch r="G28762"/>
    <cellWatch r="G28763"/>
    <cellWatch r="G28764"/>
    <cellWatch r="G28765"/>
    <cellWatch r="G28766"/>
    <cellWatch r="G28767"/>
    <cellWatch r="G28768"/>
    <cellWatch r="G28769"/>
    <cellWatch r="G28770"/>
    <cellWatch r="G28771"/>
    <cellWatch r="G28772"/>
    <cellWatch r="G28773"/>
    <cellWatch r="G28774"/>
    <cellWatch r="G28775"/>
    <cellWatch r="G28776"/>
    <cellWatch r="G28777"/>
    <cellWatch r="G28778"/>
    <cellWatch r="G28779"/>
    <cellWatch r="G28780"/>
    <cellWatch r="G28781"/>
    <cellWatch r="G28782"/>
    <cellWatch r="G28783"/>
    <cellWatch r="G28784"/>
    <cellWatch r="G28785"/>
    <cellWatch r="G28786"/>
    <cellWatch r="G28787"/>
    <cellWatch r="G28788"/>
    <cellWatch r="G28789"/>
    <cellWatch r="G28790"/>
    <cellWatch r="G28791"/>
    <cellWatch r="G28792"/>
    <cellWatch r="G28793"/>
    <cellWatch r="G28794"/>
    <cellWatch r="G28795"/>
    <cellWatch r="G28796"/>
    <cellWatch r="G28797"/>
    <cellWatch r="G28798"/>
    <cellWatch r="G28799"/>
    <cellWatch r="G28800"/>
    <cellWatch r="G28801"/>
    <cellWatch r="G28802"/>
    <cellWatch r="G28803"/>
    <cellWatch r="G28804"/>
    <cellWatch r="G28805"/>
    <cellWatch r="G28806"/>
    <cellWatch r="G28807"/>
    <cellWatch r="G28808"/>
    <cellWatch r="G28809"/>
    <cellWatch r="G28810"/>
    <cellWatch r="G28811"/>
    <cellWatch r="G28812"/>
    <cellWatch r="G28813"/>
    <cellWatch r="G28814"/>
    <cellWatch r="G28815"/>
    <cellWatch r="G28816"/>
    <cellWatch r="G28817"/>
    <cellWatch r="G28818"/>
    <cellWatch r="G28819"/>
    <cellWatch r="G28820"/>
    <cellWatch r="G28821"/>
    <cellWatch r="G28822"/>
    <cellWatch r="G28823"/>
    <cellWatch r="G28824"/>
    <cellWatch r="G28825"/>
    <cellWatch r="G28826"/>
    <cellWatch r="G28827"/>
    <cellWatch r="G28828"/>
    <cellWatch r="G28829"/>
    <cellWatch r="G28830"/>
    <cellWatch r="G28831"/>
    <cellWatch r="G28832"/>
    <cellWatch r="G28833"/>
    <cellWatch r="G28834"/>
    <cellWatch r="G28835"/>
    <cellWatch r="G28836"/>
    <cellWatch r="G28837"/>
    <cellWatch r="G28838"/>
    <cellWatch r="G28839"/>
    <cellWatch r="G28840"/>
    <cellWatch r="G28841"/>
    <cellWatch r="G28842"/>
    <cellWatch r="G28843"/>
    <cellWatch r="G28844"/>
    <cellWatch r="G28845"/>
    <cellWatch r="G28846"/>
    <cellWatch r="G28847"/>
    <cellWatch r="G28848"/>
    <cellWatch r="G28849"/>
    <cellWatch r="G28850"/>
    <cellWatch r="G28851"/>
    <cellWatch r="G28852"/>
    <cellWatch r="G28853"/>
    <cellWatch r="G28854"/>
    <cellWatch r="G28855"/>
    <cellWatch r="G28856"/>
    <cellWatch r="G28857"/>
    <cellWatch r="G28858"/>
    <cellWatch r="G28859"/>
    <cellWatch r="G28860"/>
    <cellWatch r="G28861"/>
    <cellWatch r="G28862"/>
    <cellWatch r="G28863"/>
    <cellWatch r="G28864"/>
    <cellWatch r="G28865"/>
    <cellWatch r="G28866"/>
    <cellWatch r="G28867"/>
    <cellWatch r="G28868"/>
    <cellWatch r="G28869"/>
    <cellWatch r="G28870"/>
    <cellWatch r="G28871"/>
    <cellWatch r="G28872"/>
    <cellWatch r="G28873"/>
    <cellWatch r="G28874"/>
    <cellWatch r="G28875"/>
    <cellWatch r="G28876"/>
    <cellWatch r="G28877"/>
    <cellWatch r="G28878"/>
    <cellWatch r="G28879"/>
    <cellWatch r="G28880"/>
    <cellWatch r="G28881"/>
    <cellWatch r="G28882"/>
    <cellWatch r="G28883"/>
    <cellWatch r="G28884"/>
    <cellWatch r="G28885"/>
    <cellWatch r="G28886"/>
    <cellWatch r="G28887"/>
    <cellWatch r="G28888"/>
    <cellWatch r="G28889"/>
    <cellWatch r="G28890"/>
    <cellWatch r="G28891"/>
    <cellWatch r="G28892"/>
    <cellWatch r="G28893"/>
    <cellWatch r="G28894"/>
    <cellWatch r="G28895"/>
    <cellWatch r="G28896"/>
    <cellWatch r="G28897"/>
    <cellWatch r="G28898"/>
    <cellWatch r="G28899"/>
    <cellWatch r="G28900"/>
    <cellWatch r="G28901"/>
    <cellWatch r="G28902"/>
    <cellWatch r="G28903"/>
    <cellWatch r="G28904"/>
    <cellWatch r="G28905"/>
    <cellWatch r="G28906"/>
    <cellWatch r="G28907"/>
    <cellWatch r="G28908"/>
    <cellWatch r="G28909"/>
    <cellWatch r="G28910"/>
    <cellWatch r="G28911"/>
    <cellWatch r="G28912"/>
    <cellWatch r="G28913"/>
    <cellWatch r="G28914"/>
    <cellWatch r="G28915"/>
    <cellWatch r="G28916"/>
    <cellWatch r="G28917"/>
    <cellWatch r="G28918"/>
    <cellWatch r="G28919"/>
    <cellWatch r="G28920"/>
    <cellWatch r="G28921"/>
    <cellWatch r="G28922"/>
    <cellWatch r="G28923"/>
    <cellWatch r="G28924"/>
    <cellWatch r="G28925"/>
    <cellWatch r="G28926"/>
    <cellWatch r="G28927"/>
    <cellWatch r="G28928"/>
    <cellWatch r="G28929"/>
    <cellWatch r="G28930"/>
    <cellWatch r="G28931"/>
    <cellWatch r="G28932"/>
    <cellWatch r="G28933"/>
    <cellWatch r="G28934"/>
    <cellWatch r="G28935"/>
    <cellWatch r="G28936"/>
    <cellWatch r="G28937"/>
    <cellWatch r="G28938"/>
    <cellWatch r="G28939"/>
    <cellWatch r="G28940"/>
    <cellWatch r="G28941"/>
    <cellWatch r="G28942"/>
    <cellWatch r="G28943"/>
    <cellWatch r="G28944"/>
    <cellWatch r="G28945"/>
    <cellWatch r="G28946"/>
    <cellWatch r="G28947"/>
    <cellWatch r="G28948"/>
    <cellWatch r="G28949"/>
    <cellWatch r="G28950"/>
    <cellWatch r="G28951"/>
    <cellWatch r="G28952"/>
    <cellWatch r="G28953"/>
    <cellWatch r="G28954"/>
    <cellWatch r="G28955"/>
    <cellWatch r="G28956"/>
    <cellWatch r="G28957"/>
    <cellWatch r="G28958"/>
    <cellWatch r="G28959"/>
    <cellWatch r="G28960"/>
    <cellWatch r="G28961"/>
    <cellWatch r="G28962"/>
    <cellWatch r="G28963"/>
    <cellWatch r="G28964"/>
    <cellWatch r="G28965"/>
    <cellWatch r="G28966"/>
    <cellWatch r="G28967"/>
    <cellWatch r="G28968"/>
    <cellWatch r="G28969"/>
    <cellWatch r="G28970"/>
    <cellWatch r="G28971"/>
    <cellWatch r="G28972"/>
    <cellWatch r="G28973"/>
    <cellWatch r="G28974"/>
    <cellWatch r="G28975"/>
    <cellWatch r="G28976"/>
    <cellWatch r="G28977"/>
    <cellWatch r="G28978"/>
    <cellWatch r="G28979"/>
    <cellWatch r="G28980"/>
    <cellWatch r="G28981"/>
    <cellWatch r="G28982"/>
    <cellWatch r="G28983"/>
    <cellWatch r="G28984"/>
    <cellWatch r="G28985"/>
    <cellWatch r="G28986"/>
    <cellWatch r="G28987"/>
    <cellWatch r="G28988"/>
    <cellWatch r="G28989"/>
    <cellWatch r="G28990"/>
    <cellWatch r="G28991"/>
    <cellWatch r="G28992"/>
    <cellWatch r="G28993"/>
    <cellWatch r="G28994"/>
    <cellWatch r="G28995"/>
    <cellWatch r="G28996"/>
    <cellWatch r="G28997"/>
    <cellWatch r="G28998"/>
    <cellWatch r="G28999"/>
    <cellWatch r="G29000"/>
    <cellWatch r="G29001"/>
    <cellWatch r="G29002"/>
    <cellWatch r="G29003"/>
    <cellWatch r="G29004"/>
    <cellWatch r="G29005"/>
    <cellWatch r="G29006"/>
    <cellWatch r="G29007"/>
    <cellWatch r="G29008"/>
    <cellWatch r="G29009"/>
    <cellWatch r="G29010"/>
    <cellWatch r="G29011"/>
    <cellWatch r="G29012"/>
    <cellWatch r="G29013"/>
    <cellWatch r="G29014"/>
    <cellWatch r="G29015"/>
    <cellWatch r="G29016"/>
    <cellWatch r="G29017"/>
    <cellWatch r="G29018"/>
    <cellWatch r="G29019"/>
    <cellWatch r="G29020"/>
    <cellWatch r="G29021"/>
    <cellWatch r="G29022"/>
    <cellWatch r="G29023"/>
    <cellWatch r="G29024"/>
    <cellWatch r="G29025"/>
    <cellWatch r="G29026"/>
    <cellWatch r="G29027"/>
    <cellWatch r="G29028"/>
    <cellWatch r="G29029"/>
    <cellWatch r="G29030"/>
    <cellWatch r="G29031"/>
    <cellWatch r="G29032"/>
    <cellWatch r="G29033"/>
    <cellWatch r="G29034"/>
    <cellWatch r="G29035"/>
    <cellWatch r="G29036"/>
    <cellWatch r="G29037"/>
    <cellWatch r="G29038"/>
    <cellWatch r="G29039"/>
    <cellWatch r="G29040"/>
    <cellWatch r="G29041"/>
    <cellWatch r="G29042"/>
    <cellWatch r="G29043"/>
    <cellWatch r="G29044"/>
    <cellWatch r="G29045"/>
    <cellWatch r="G29046"/>
    <cellWatch r="G29047"/>
    <cellWatch r="G29048"/>
    <cellWatch r="G29049"/>
    <cellWatch r="G29050"/>
    <cellWatch r="G29051"/>
    <cellWatch r="G29052"/>
    <cellWatch r="G29053"/>
    <cellWatch r="G29054"/>
    <cellWatch r="G29055"/>
    <cellWatch r="G29056"/>
    <cellWatch r="G29057"/>
    <cellWatch r="G29058"/>
    <cellWatch r="G29059"/>
    <cellWatch r="G29060"/>
    <cellWatch r="G29061"/>
    <cellWatch r="G29062"/>
    <cellWatch r="G29063"/>
    <cellWatch r="G29064"/>
    <cellWatch r="G29065"/>
    <cellWatch r="G29066"/>
    <cellWatch r="G29067"/>
    <cellWatch r="G29068"/>
    <cellWatch r="G29069"/>
    <cellWatch r="G29070"/>
    <cellWatch r="G29071"/>
    <cellWatch r="G29072"/>
    <cellWatch r="G29073"/>
    <cellWatch r="G29074"/>
    <cellWatch r="G29075"/>
    <cellWatch r="G29076"/>
    <cellWatch r="G29077"/>
    <cellWatch r="G29078"/>
    <cellWatch r="G29079"/>
    <cellWatch r="G29080"/>
    <cellWatch r="G29081"/>
    <cellWatch r="G29082"/>
    <cellWatch r="G29083"/>
    <cellWatch r="G29084"/>
    <cellWatch r="G29085"/>
    <cellWatch r="G29086"/>
    <cellWatch r="G29087"/>
    <cellWatch r="G29088"/>
    <cellWatch r="G29089"/>
    <cellWatch r="G29090"/>
    <cellWatch r="G29091"/>
    <cellWatch r="G29092"/>
    <cellWatch r="G29093"/>
    <cellWatch r="G29094"/>
    <cellWatch r="G29095"/>
    <cellWatch r="G29096"/>
    <cellWatch r="G29097"/>
    <cellWatch r="G29098"/>
    <cellWatch r="G29099"/>
    <cellWatch r="G29100"/>
    <cellWatch r="G29101"/>
    <cellWatch r="G29102"/>
    <cellWatch r="G29103"/>
    <cellWatch r="G29104"/>
    <cellWatch r="G29105"/>
    <cellWatch r="G29106"/>
    <cellWatch r="G29107"/>
    <cellWatch r="G29108"/>
    <cellWatch r="G29109"/>
    <cellWatch r="G29110"/>
    <cellWatch r="G29111"/>
    <cellWatch r="G29112"/>
    <cellWatch r="G29113"/>
    <cellWatch r="G29114"/>
    <cellWatch r="G29115"/>
    <cellWatch r="G29116"/>
    <cellWatch r="G29117"/>
    <cellWatch r="G29118"/>
    <cellWatch r="G29119"/>
    <cellWatch r="G29120"/>
    <cellWatch r="G29121"/>
    <cellWatch r="G29122"/>
    <cellWatch r="G29123"/>
    <cellWatch r="G29124"/>
    <cellWatch r="G29125"/>
    <cellWatch r="G29126"/>
    <cellWatch r="G29127"/>
    <cellWatch r="G29128"/>
    <cellWatch r="G29129"/>
    <cellWatch r="G29130"/>
    <cellWatch r="G29131"/>
    <cellWatch r="G29132"/>
    <cellWatch r="G29133"/>
    <cellWatch r="G29134"/>
    <cellWatch r="G29135"/>
    <cellWatch r="G29136"/>
    <cellWatch r="G29137"/>
    <cellWatch r="G29138"/>
    <cellWatch r="G29139"/>
    <cellWatch r="G29140"/>
    <cellWatch r="G29141"/>
    <cellWatch r="G29142"/>
    <cellWatch r="G29143"/>
    <cellWatch r="G29144"/>
    <cellWatch r="G29145"/>
    <cellWatch r="G29146"/>
    <cellWatch r="G29147"/>
    <cellWatch r="G29148"/>
    <cellWatch r="G29149"/>
    <cellWatch r="G29150"/>
    <cellWatch r="G29151"/>
    <cellWatch r="G29152"/>
    <cellWatch r="G29153"/>
    <cellWatch r="G29154"/>
    <cellWatch r="G29155"/>
    <cellWatch r="G29156"/>
    <cellWatch r="G29157"/>
    <cellWatch r="G29158"/>
    <cellWatch r="G29159"/>
    <cellWatch r="G29160"/>
    <cellWatch r="G29161"/>
    <cellWatch r="G29162"/>
    <cellWatch r="G29163"/>
    <cellWatch r="G29164"/>
    <cellWatch r="G29165"/>
    <cellWatch r="G29166"/>
    <cellWatch r="G29167"/>
    <cellWatch r="G29168"/>
    <cellWatch r="G29169"/>
    <cellWatch r="G29170"/>
    <cellWatch r="G29171"/>
    <cellWatch r="G29172"/>
    <cellWatch r="G29173"/>
    <cellWatch r="G29174"/>
    <cellWatch r="G29175"/>
    <cellWatch r="G29176"/>
    <cellWatch r="G29177"/>
    <cellWatch r="G29178"/>
    <cellWatch r="G29179"/>
    <cellWatch r="G29180"/>
    <cellWatch r="G29181"/>
    <cellWatch r="G29182"/>
    <cellWatch r="G29183"/>
    <cellWatch r="G29184"/>
    <cellWatch r="G29185"/>
    <cellWatch r="G29186"/>
    <cellWatch r="G29187"/>
    <cellWatch r="G29188"/>
    <cellWatch r="G29189"/>
    <cellWatch r="G29190"/>
    <cellWatch r="G29191"/>
    <cellWatch r="G29192"/>
    <cellWatch r="G29193"/>
    <cellWatch r="G29194"/>
    <cellWatch r="G29195"/>
    <cellWatch r="G29196"/>
    <cellWatch r="G29197"/>
    <cellWatch r="G29198"/>
    <cellWatch r="G29199"/>
    <cellWatch r="G29200"/>
    <cellWatch r="G29201"/>
    <cellWatch r="G29202"/>
    <cellWatch r="G29203"/>
    <cellWatch r="G29204"/>
    <cellWatch r="G29205"/>
    <cellWatch r="G29206"/>
    <cellWatch r="G29207"/>
    <cellWatch r="G29208"/>
    <cellWatch r="G29209"/>
    <cellWatch r="G29210"/>
    <cellWatch r="G29211"/>
    <cellWatch r="G29212"/>
    <cellWatch r="G29213"/>
    <cellWatch r="G29214"/>
    <cellWatch r="G29215"/>
    <cellWatch r="G29216"/>
    <cellWatch r="G29217"/>
    <cellWatch r="G29218"/>
    <cellWatch r="G29219"/>
    <cellWatch r="G29220"/>
    <cellWatch r="G29221"/>
    <cellWatch r="G29222"/>
    <cellWatch r="G29223"/>
    <cellWatch r="G29224"/>
    <cellWatch r="G29225"/>
    <cellWatch r="G29226"/>
    <cellWatch r="G29227"/>
    <cellWatch r="G29228"/>
    <cellWatch r="G29229"/>
    <cellWatch r="G29230"/>
    <cellWatch r="G29231"/>
    <cellWatch r="G29232"/>
    <cellWatch r="G29233"/>
    <cellWatch r="G29234"/>
    <cellWatch r="G29235"/>
    <cellWatch r="G29236"/>
    <cellWatch r="G29237"/>
    <cellWatch r="G29238"/>
    <cellWatch r="G29239"/>
    <cellWatch r="G29240"/>
    <cellWatch r="G29241"/>
    <cellWatch r="G29242"/>
    <cellWatch r="G29243"/>
    <cellWatch r="G29244"/>
    <cellWatch r="G29245"/>
    <cellWatch r="G29246"/>
    <cellWatch r="G29247"/>
    <cellWatch r="G29248"/>
    <cellWatch r="G29249"/>
    <cellWatch r="G29250"/>
    <cellWatch r="G29251"/>
    <cellWatch r="G29252"/>
    <cellWatch r="G29253"/>
    <cellWatch r="G29254"/>
    <cellWatch r="G29255"/>
    <cellWatch r="G29256"/>
    <cellWatch r="G29257"/>
    <cellWatch r="G29258"/>
    <cellWatch r="G29259"/>
    <cellWatch r="G29260"/>
    <cellWatch r="G29261"/>
    <cellWatch r="G29262"/>
    <cellWatch r="G29263"/>
    <cellWatch r="G29264"/>
    <cellWatch r="G29265"/>
    <cellWatch r="G29266"/>
    <cellWatch r="G29267"/>
    <cellWatch r="G29268"/>
    <cellWatch r="G29269"/>
    <cellWatch r="G29270"/>
    <cellWatch r="G29271"/>
    <cellWatch r="G29272"/>
    <cellWatch r="G29273"/>
    <cellWatch r="G29274"/>
    <cellWatch r="G29275"/>
    <cellWatch r="G29276"/>
    <cellWatch r="G29277"/>
    <cellWatch r="G29278"/>
    <cellWatch r="G29279"/>
    <cellWatch r="G29280"/>
    <cellWatch r="G29281"/>
    <cellWatch r="G29282"/>
    <cellWatch r="G29283"/>
    <cellWatch r="G29284"/>
    <cellWatch r="G29285"/>
    <cellWatch r="G29286"/>
    <cellWatch r="G29287"/>
    <cellWatch r="G29288"/>
    <cellWatch r="G29289"/>
    <cellWatch r="G29290"/>
    <cellWatch r="G29291"/>
    <cellWatch r="G29292"/>
    <cellWatch r="G29293"/>
    <cellWatch r="G29294"/>
    <cellWatch r="G29295"/>
    <cellWatch r="G29296"/>
    <cellWatch r="G29297"/>
    <cellWatch r="G29298"/>
    <cellWatch r="G29299"/>
    <cellWatch r="G29300"/>
    <cellWatch r="G29301"/>
    <cellWatch r="G29302"/>
    <cellWatch r="G29303"/>
    <cellWatch r="G29304"/>
    <cellWatch r="G29305"/>
    <cellWatch r="G29306"/>
    <cellWatch r="G29307"/>
    <cellWatch r="G29308"/>
    <cellWatch r="G29309"/>
    <cellWatch r="G29310"/>
    <cellWatch r="G29311"/>
    <cellWatch r="G29312"/>
    <cellWatch r="G29313"/>
    <cellWatch r="G29314"/>
    <cellWatch r="G29315"/>
    <cellWatch r="G29316"/>
    <cellWatch r="G29317"/>
    <cellWatch r="G29318"/>
    <cellWatch r="G29319"/>
    <cellWatch r="G29320"/>
    <cellWatch r="G29321"/>
    <cellWatch r="G29322"/>
    <cellWatch r="G29323"/>
    <cellWatch r="G29324"/>
    <cellWatch r="G29325"/>
    <cellWatch r="G29326"/>
    <cellWatch r="G29327"/>
    <cellWatch r="G29328"/>
    <cellWatch r="G29329"/>
    <cellWatch r="G29330"/>
    <cellWatch r="G29331"/>
    <cellWatch r="G29332"/>
    <cellWatch r="G29333"/>
    <cellWatch r="G29334"/>
    <cellWatch r="G29335"/>
    <cellWatch r="G29336"/>
    <cellWatch r="G29337"/>
    <cellWatch r="G29338"/>
    <cellWatch r="G29339"/>
    <cellWatch r="G29340"/>
    <cellWatch r="G29341"/>
    <cellWatch r="G29342"/>
    <cellWatch r="G29343"/>
    <cellWatch r="G29344"/>
    <cellWatch r="G29345"/>
    <cellWatch r="G29346"/>
    <cellWatch r="G29347"/>
    <cellWatch r="G29348"/>
    <cellWatch r="G29349"/>
    <cellWatch r="G29350"/>
    <cellWatch r="G29351"/>
    <cellWatch r="G29352"/>
    <cellWatch r="G29353"/>
    <cellWatch r="G29354"/>
    <cellWatch r="G29355"/>
    <cellWatch r="G29356"/>
    <cellWatch r="G29357"/>
    <cellWatch r="G29358"/>
    <cellWatch r="G29359"/>
    <cellWatch r="G29360"/>
    <cellWatch r="G29361"/>
    <cellWatch r="G29362"/>
    <cellWatch r="G29363"/>
    <cellWatch r="G29364"/>
    <cellWatch r="G29365"/>
    <cellWatch r="G29366"/>
    <cellWatch r="G29367"/>
    <cellWatch r="G29368"/>
    <cellWatch r="G29369"/>
    <cellWatch r="G29370"/>
    <cellWatch r="G29371"/>
    <cellWatch r="G29372"/>
    <cellWatch r="G29373"/>
    <cellWatch r="G29374"/>
    <cellWatch r="G29375"/>
    <cellWatch r="G29376"/>
    <cellWatch r="G29377"/>
    <cellWatch r="G29378"/>
    <cellWatch r="G29379"/>
    <cellWatch r="G29380"/>
    <cellWatch r="G29381"/>
    <cellWatch r="G29382"/>
    <cellWatch r="G29383"/>
    <cellWatch r="G29384"/>
    <cellWatch r="G29385"/>
    <cellWatch r="G29386"/>
    <cellWatch r="G29387"/>
    <cellWatch r="G29388"/>
    <cellWatch r="G29389"/>
    <cellWatch r="G29390"/>
    <cellWatch r="G29391"/>
    <cellWatch r="G29392"/>
    <cellWatch r="G29393"/>
    <cellWatch r="G29394"/>
    <cellWatch r="G29395"/>
    <cellWatch r="G29396"/>
    <cellWatch r="G29397"/>
    <cellWatch r="G29398"/>
    <cellWatch r="G29399"/>
    <cellWatch r="G29400"/>
    <cellWatch r="G29401"/>
    <cellWatch r="G29402"/>
    <cellWatch r="G29403"/>
    <cellWatch r="G29404"/>
    <cellWatch r="G29405"/>
    <cellWatch r="G29406"/>
    <cellWatch r="G29407"/>
    <cellWatch r="G29408"/>
    <cellWatch r="G29409"/>
    <cellWatch r="G29410"/>
    <cellWatch r="G29411"/>
    <cellWatch r="G29412"/>
    <cellWatch r="G29413"/>
    <cellWatch r="G29414"/>
    <cellWatch r="G29415"/>
    <cellWatch r="G29416"/>
    <cellWatch r="G29417"/>
    <cellWatch r="G29418"/>
    <cellWatch r="G29419"/>
    <cellWatch r="G29420"/>
    <cellWatch r="G29421"/>
    <cellWatch r="G29422"/>
    <cellWatch r="G29423"/>
    <cellWatch r="G29424"/>
    <cellWatch r="G29425"/>
    <cellWatch r="G29426"/>
    <cellWatch r="G29427"/>
    <cellWatch r="G29428"/>
    <cellWatch r="G29429"/>
    <cellWatch r="G29430"/>
    <cellWatch r="G29431"/>
    <cellWatch r="G29432"/>
    <cellWatch r="G29433"/>
    <cellWatch r="G29434"/>
    <cellWatch r="G29435"/>
    <cellWatch r="G29436"/>
    <cellWatch r="G29437"/>
    <cellWatch r="G29438"/>
    <cellWatch r="G29439"/>
    <cellWatch r="G29440"/>
    <cellWatch r="G29441"/>
    <cellWatch r="G29442"/>
    <cellWatch r="G29443"/>
    <cellWatch r="G29444"/>
    <cellWatch r="G29445"/>
    <cellWatch r="G29446"/>
    <cellWatch r="G29447"/>
    <cellWatch r="G29448"/>
    <cellWatch r="G29449"/>
    <cellWatch r="G29450"/>
    <cellWatch r="G29451"/>
    <cellWatch r="G29452"/>
    <cellWatch r="G29453"/>
    <cellWatch r="G29454"/>
    <cellWatch r="G29455"/>
    <cellWatch r="G29456"/>
    <cellWatch r="G29457"/>
    <cellWatch r="G29458"/>
    <cellWatch r="G29459"/>
    <cellWatch r="G29460"/>
    <cellWatch r="G29461"/>
    <cellWatch r="G29462"/>
    <cellWatch r="G29463"/>
    <cellWatch r="G29464"/>
    <cellWatch r="G29465"/>
    <cellWatch r="G29466"/>
    <cellWatch r="G29467"/>
    <cellWatch r="G29468"/>
    <cellWatch r="G29469"/>
    <cellWatch r="G29470"/>
    <cellWatch r="G29471"/>
    <cellWatch r="G29472"/>
    <cellWatch r="G29473"/>
    <cellWatch r="G29474"/>
    <cellWatch r="G29475"/>
    <cellWatch r="G29476"/>
    <cellWatch r="G29477"/>
    <cellWatch r="G29478"/>
    <cellWatch r="G29479"/>
    <cellWatch r="G29480"/>
    <cellWatch r="G29481"/>
    <cellWatch r="G29482"/>
    <cellWatch r="G29483"/>
    <cellWatch r="G29484"/>
    <cellWatch r="G29485"/>
    <cellWatch r="G29486"/>
    <cellWatch r="G29487"/>
    <cellWatch r="G29488"/>
    <cellWatch r="G29489"/>
    <cellWatch r="G29490"/>
    <cellWatch r="G29491"/>
    <cellWatch r="G29492"/>
    <cellWatch r="G29493"/>
    <cellWatch r="G29494"/>
    <cellWatch r="G29495"/>
    <cellWatch r="G29496"/>
    <cellWatch r="G29497"/>
    <cellWatch r="G29498"/>
    <cellWatch r="G29499"/>
    <cellWatch r="G29500"/>
    <cellWatch r="G29501"/>
    <cellWatch r="G29502"/>
    <cellWatch r="G29503"/>
    <cellWatch r="G29504"/>
    <cellWatch r="G29505"/>
    <cellWatch r="G29506"/>
    <cellWatch r="G29507"/>
    <cellWatch r="G29508"/>
    <cellWatch r="G29509"/>
    <cellWatch r="G29510"/>
    <cellWatch r="G29511"/>
    <cellWatch r="G29512"/>
    <cellWatch r="G29513"/>
    <cellWatch r="G29514"/>
    <cellWatch r="G29515"/>
    <cellWatch r="G29516"/>
    <cellWatch r="G29517"/>
    <cellWatch r="G29518"/>
    <cellWatch r="G29519"/>
    <cellWatch r="G29520"/>
    <cellWatch r="G29521"/>
    <cellWatch r="G29522"/>
    <cellWatch r="G29523"/>
    <cellWatch r="G29524"/>
    <cellWatch r="G29525"/>
    <cellWatch r="G29526"/>
    <cellWatch r="G29527"/>
    <cellWatch r="G29528"/>
    <cellWatch r="G29529"/>
    <cellWatch r="G29530"/>
    <cellWatch r="G29531"/>
    <cellWatch r="G29532"/>
    <cellWatch r="G29533"/>
    <cellWatch r="G29534"/>
    <cellWatch r="G29535"/>
    <cellWatch r="G29536"/>
    <cellWatch r="G29537"/>
    <cellWatch r="G29538"/>
    <cellWatch r="G29539"/>
    <cellWatch r="G29540"/>
    <cellWatch r="G29541"/>
    <cellWatch r="G29542"/>
    <cellWatch r="G29543"/>
    <cellWatch r="G29544"/>
    <cellWatch r="G29545"/>
    <cellWatch r="G29546"/>
    <cellWatch r="G29547"/>
    <cellWatch r="G29548"/>
    <cellWatch r="G29549"/>
    <cellWatch r="G29550"/>
    <cellWatch r="G29551"/>
    <cellWatch r="G29552"/>
    <cellWatch r="G29553"/>
    <cellWatch r="G29554"/>
    <cellWatch r="G29555"/>
    <cellWatch r="G29556"/>
    <cellWatch r="G29557"/>
    <cellWatch r="G29558"/>
    <cellWatch r="G29559"/>
    <cellWatch r="G29560"/>
    <cellWatch r="G29561"/>
    <cellWatch r="G29562"/>
    <cellWatch r="G29563"/>
    <cellWatch r="G29564"/>
    <cellWatch r="G29565"/>
    <cellWatch r="G29566"/>
    <cellWatch r="G29567"/>
    <cellWatch r="G29568"/>
    <cellWatch r="G29569"/>
    <cellWatch r="G29570"/>
    <cellWatch r="G29571"/>
    <cellWatch r="G29572"/>
    <cellWatch r="G29573"/>
    <cellWatch r="G29574"/>
    <cellWatch r="G29575"/>
    <cellWatch r="G29576"/>
    <cellWatch r="G29577"/>
    <cellWatch r="G29578"/>
    <cellWatch r="G29579"/>
    <cellWatch r="G29580"/>
    <cellWatch r="G29581"/>
    <cellWatch r="G29582"/>
    <cellWatch r="G29583"/>
    <cellWatch r="G29584"/>
    <cellWatch r="G29585"/>
    <cellWatch r="G29586"/>
    <cellWatch r="G29587"/>
    <cellWatch r="G29588"/>
    <cellWatch r="G29589"/>
    <cellWatch r="G29590"/>
    <cellWatch r="G29591"/>
    <cellWatch r="G29592"/>
    <cellWatch r="G29593"/>
    <cellWatch r="G29594"/>
    <cellWatch r="G29595"/>
    <cellWatch r="G29596"/>
    <cellWatch r="G29597"/>
    <cellWatch r="G29598"/>
    <cellWatch r="G29599"/>
    <cellWatch r="G29600"/>
    <cellWatch r="G29601"/>
    <cellWatch r="G29602"/>
    <cellWatch r="G29603"/>
    <cellWatch r="G29604"/>
    <cellWatch r="G29605"/>
    <cellWatch r="G29606"/>
    <cellWatch r="G29607"/>
    <cellWatch r="G29608"/>
    <cellWatch r="G29609"/>
    <cellWatch r="G29610"/>
    <cellWatch r="G29611"/>
    <cellWatch r="G29612"/>
    <cellWatch r="G29613"/>
    <cellWatch r="G29614"/>
    <cellWatch r="G29615"/>
    <cellWatch r="G29616"/>
    <cellWatch r="G29617"/>
    <cellWatch r="G29618"/>
    <cellWatch r="G29619"/>
    <cellWatch r="G29620"/>
    <cellWatch r="G29621"/>
    <cellWatch r="G29622"/>
    <cellWatch r="G29623"/>
    <cellWatch r="G29624"/>
    <cellWatch r="G29625"/>
    <cellWatch r="G29626"/>
    <cellWatch r="G29627"/>
    <cellWatch r="G29628"/>
    <cellWatch r="G29629"/>
    <cellWatch r="G29630"/>
    <cellWatch r="G29631"/>
    <cellWatch r="G29632"/>
    <cellWatch r="G29633"/>
    <cellWatch r="G29634"/>
    <cellWatch r="G29635"/>
    <cellWatch r="G29636"/>
    <cellWatch r="G29637"/>
    <cellWatch r="G29638"/>
    <cellWatch r="G29639"/>
    <cellWatch r="G29640"/>
    <cellWatch r="G29641"/>
    <cellWatch r="G29642"/>
    <cellWatch r="G29643"/>
    <cellWatch r="G29644"/>
    <cellWatch r="G29645"/>
    <cellWatch r="G29646"/>
    <cellWatch r="G29647"/>
    <cellWatch r="G29648"/>
    <cellWatch r="G29649"/>
    <cellWatch r="G29650"/>
    <cellWatch r="G29651"/>
    <cellWatch r="G29652"/>
    <cellWatch r="G29653"/>
    <cellWatch r="G29654"/>
    <cellWatch r="G29655"/>
    <cellWatch r="G29656"/>
    <cellWatch r="G29657"/>
    <cellWatch r="G29658"/>
    <cellWatch r="G29659"/>
    <cellWatch r="G29660"/>
    <cellWatch r="G29661"/>
    <cellWatch r="G29662"/>
    <cellWatch r="G29663"/>
    <cellWatch r="G29664"/>
    <cellWatch r="G29665"/>
    <cellWatch r="G29666"/>
    <cellWatch r="G29667"/>
    <cellWatch r="G29668"/>
    <cellWatch r="G29669"/>
    <cellWatch r="G29670"/>
    <cellWatch r="G29671"/>
    <cellWatch r="G29672"/>
    <cellWatch r="G29673"/>
    <cellWatch r="G29674"/>
    <cellWatch r="G29675"/>
    <cellWatch r="G29676"/>
    <cellWatch r="G29677"/>
    <cellWatch r="G29678"/>
    <cellWatch r="G29679"/>
    <cellWatch r="G29680"/>
    <cellWatch r="G29681"/>
    <cellWatch r="G29682"/>
    <cellWatch r="G29683"/>
    <cellWatch r="G29684"/>
    <cellWatch r="G29685"/>
    <cellWatch r="G29686"/>
    <cellWatch r="G29687"/>
    <cellWatch r="G29688"/>
    <cellWatch r="G29689"/>
    <cellWatch r="G29690"/>
    <cellWatch r="G29691"/>
    <cellWatch r="G29692"/>
    <cellWatch r="G29693"/>
    <cellWatch r="G29694"/>
    <cellWatch r="G29695"/>
    <cellWatch r="G29696"/>
    <cellWatch r="G29697"/>
    <cellWatch r="G29698"/>
    <cellWatch r="G29699"/>
    <cellWatch r="G29700"/>
    <cellWatch r="G29701"/>
    <cellWatch r="G29702"/>
    <cellWatch r="G29703"/>
    <cellWatch r="G29704"/>
    <cellWatch r="G29705"/>
    <cellWatch r="G29706"/>
    <cellWatch r="G29707"/>
    <cellWatch r="G29708"/>
    <cellWatch r="G29709"/>
    <cellWatch r="G29710"/>
    <cellWatch r="G29711"/>
    <cellWatch r="G29712"/>
    <cellWatch r="G29713"/>
    <cellWatch r="G29714"/>
    <cellWatch r="G29715"/>
    <cellWatch r="G29716"/>
    <cellWatch r="G29717"/>
    <cellWatch r="G29718"/>
    <cellWatch r="G29719"/>
    <cellWatch r="G29720"/>
    <cellWatch r="G29721"/>
    <cellWatch r="G29722"/>
    <cellWatch r="G29723"/>
    <cellWatch r="G29724"/>
    <cellWatch r="G29725"/>
    <cellWatch r="G29726"/>
    <cellWatch r="G29727"/>
    <cellWatch r="G29728"/>
    <cellWatch r="G29729"/>
    <cellWatch r="G29730"/>
    <cellWatch r="G29731"/>
    <cellWatch r="G29732"/>
    <cellWatch r="G29733"/>
    <cellWatch r="G29734"/>
    <cellWatch r="G29735"/>
    <cellWatch r="G29736"/>
    <cellWatch r="G29737"/>
    <cellWatch r="G29738"/>
    <cellWatch r="G29739"/>
    <cellWatch r="G29740"/>
    <cellWatch r="G29741"/>
    <cellWatch r="G29742"/>
    <cellWatch r="G29743"/>
    <cellWatch r="G29744"/>
    <cellWatch r="G29745"/>
    <cellWatch r="G29746"/>
    <cellWatch r="G29747"/>
    <cellWatch r="G29748"/>
    <cellWatch r="G29749"/>
    <cellWatch r="G29750"/>
    <cellWatch r="G29751"/>
    <cellWatch r="G29752"/>
    <cellWatch r="G29753"/>
    <cellWatch r="G29754"/>
    <cellWatch r="G29755"/>
    <cellWatch r="G29756"/>
    <cellWatch r="G29757"/>
    <cellWatch r="G29758"/>
    <cellWatch r="G29759"/>
    <cellWatch r="G29760"/>
    <cellWatch r="G29761"/>
    <cellWatch r="G29762"/>
    <cellWatch r="G29763"/>
    <cellWatch r="G29764"/>
    <cellWatch r="G29765"/>
    <cellWatch r="G29766"/>
    <cellWatch r="G29767"/>
    <cellWatch r="G29768"/>
    <cellWatch r="G29769"/>
    <cellWatch r="G29770"/>
    <cellWatch r="G29771"/>
    <cellWatch r="G29772"/>
    <cellWatch r="G29773"/>
    <cellWatch r="G29774"/>
    <cellWatch r="G29775"/>
    <cellWatch r="G29776"/>
    <cellWatch r="G29777"/>
    <cellWatch r="G29778"/>
    <cellWatch r="G29779"/>
    <cellWatch r="G29780"/>
    <cellWatch r="G29781"/>
    <cellWatch r="G29782"/>
    <cellWatch r="G29783"/>
    <cellWatch r="G29784"/>
    <cellWatch r="G29785"/>
    <cellWatch r="G29786"/>
    <cellWatch r="G29787"/>
    <cellWatch r="G29788"/>
    <cellWatch r="G29789"/>
    <cellWatch r="G29790"/>
    <cellWatch r="G29791"/>
    <cellWatch r="G29792"/>
    <cellWatch r="G29793"/>
    <cellWatch r="G29794"/>
    <cellWatch r="G29795"/>
    <cellWatch r="G29796"/>
    <cellWatch r="G29797"/>
    <cellWatch r="G29798"/>
    <cellWatch r="G29799"/>
    <cellWatch r="G29800"/>
    <cellWatch r="G29801"/>
    <cellWatch r="G29802"/>
    <cellWatch r="G29803"/>
    <cellWatch r="G29804"/>
    <cellWatch r="G29805"/>
    <cellWatch r="G29806"/>
    <cellWatch r="G29807"/>
    <cellWatch r="G29808"/>
    <cellWatch r="G29809"/>
    <cellWatch r="G29810"/>
    <cellWatch r="G29811"/>
    <cellWatch r="G29812"/>
    <cellWatch r="G29813"/>
    <cellWatch r="G29814"/>
    <cellWatch r="G29815"/>
    <cellWatch r="G29816"/>
    <cellWatch r="G29817"/>
    <cellWatch r="G29818"/>
    <cellWatch r="G29819"/>
    <cellWatch r="G29820"/>
    <cellWatch r="G29821"/>
    <cellWatch r="G29822"/>
    <cellWatch r="G29823"/>
    <cellWatch r="G29824"/>
    <cellWatch r="G29825"/>
    <cellWatch r="G29826"/>
    <cellWatch r="G29827"/>
    <cellWatch r="G29828"/>
    <cellWatch r="G29829"/>
    <cellWatch r="G29830"/>
    <cellWatch r="G29831"/>
    <cellWatch r="G29832"/>
    <cellWatch r="G29833"/>
    <cellWatch r="G29834"/>
    <cellWatch r="G29835"/>
    <cellWatch r="G29836"/>
    <cellWatch r="G29837"/>
    <cellWatch r="G29838"/>
    <cellWatch r="G29839"/>
    <cellWatch r="G29840"/>
    <cellWatch r="G29841"/>
    <cellWatch r="G29842"/>
    <cellWatch r="G29843"/>
    <cellWatch r="G29844"/>
    <cellWatch r="G29845"/>
    <cellWatch r="G29846"/>
    <cellWatch r="G29847"/>
    <cellWatch r="G29848"/>
    <cellWatch r="G29849"/>
    <cellWatch r="G29850"/>
    <cellWatch r="G29851"/>
    <cellWatch r="G29852"/>
    <cellWatch r="G29853"/>
    <cellWatch r="G29854"/>
    <cellWatch r="G29855"/>
    <cellWatch r="G29856"/>
    <cellWatch r="G29857"/>
    <cellWatch r="G29858"/>
    <cellWatch r="G29859"/>
    <cellWatch r="G29860"/>
    <cellWatch r="G29861"/>
    <cellWatch r="G29862"/>
    <cellWatch r="G29863"/>
    <cellWatch r="G29864"/>
    <cellWatch r="G29865"/>
    <cellWatch r="G29866"/>
    <cellWatch r="G29867"/>
    <cellWatch r="G29868"/>
    <cellWatch r="G29869"/>
    <cellWatch r="G29870"/>
    <cellWatch r="G29871"/>
    <cellWatch r="G29872"/>
    <cellWatch r="G29873"/>
    <cellWatch r="G29874"/>
    <cellWatch r="G29875"/>
    <cellWatch r="G29876"/>
    <cellWatch r="G29877"/>
    <cellWatch r="G29878"/>
    <cellWatch r="G29879"/>
    <cellWatch r="G29880"/>
    <cellWatch r="G29881"/>
    <cellWatch r="G29882"/>
    <cellWatch r="G29883"/>
    <cellWatch r="G29884"/>
    <cellWatch r="G29885"/>
    <cellWatch r="G29886"/>
    <cellWatch r="G29887"/>
    <cellWatch r="G29888"/>
    <cellWatch r="G29889"/>
    <cellWatch r="G29890"/>
    <cellWatch r="G29891"/>
    <cellWatch r="G29892"/>
    <cellWatch r="G29893"/>
    <cellWatch r="G29894"/>
    <cellWatch r="G29895"/>
    <cellWatch r="G29896"/>
    <cellWatch r="G29897"/>
    <cellWatch r="G29898"/>
    <cellWatch r="G29899"/>
    <cellWatch r="G29900"/>
    <cellWatch r="G29901"/>
    <cellWatch r="G29902"/>
    <cellWatch r="G29903"/>
    <cellWatch r="G29904"/>
    <cellWatch r="G29905"/>
    <cellWatch r="G29906"/>
    <cellWatch r="G29907"/>
    <cellWatch r="G29908"/>
    <cellWatch r="G29909"/>
    <cellWatch r="G29910"/>
    <cellWatch r="G29911"/>
    <cellWatch r="G29912"/>
    <cellWatch r="G29913"/>
    <cellWatch r="G29914"/>
    <cellWatch r="G29915"/>
    <cellWatch r="G29916"/>
    <cellWatch r="G29917"/>
    <cellWatch r="G29918"/>
    <cellWatch r="G29919"/>
    <cellWatch r="G29920"/>
    <cellWatch r="G29921"/>
    <cellWatch r="G29922"/>
    <cellWatch r="G29923"/>
    <cellWatch r="G29924"/>
    <cellWatch r="G29925"/>
    <cellWatch r="G29926"/>
    <cellWatch r="G29927"/>
    <cellWatch r="G29928"/>
    <cellWatch r="G29929"/>
    <cellWatch r="G29930"/>
    <cellWatch r="G29931"/>
    <cellWatch r="G29932"/>
    <cellWatch r="G29933"/>
    <cellWatch r="G29934"/>
    <cellWatch r="G29935"/>
    <cellWatch r="G29936"/>
    <cellWatch r="G29937"/>
    <cellWatch r="G29938"/>
    <cellWatch r="G29939"/>
    <cellWatch r="G29940"/>
    <cellWatch r="G29941"/>
    <cellWatch r="G29942"/>
    <cellWatch r="G29943"/>
    <cellWatch r="G29944"/>
    <cellWatch r="G29945"/>
    <cellWatch r="G29946"/>
    <cellWatch r="G29947"/>
    <cellWatch r="G29948"/>
    <cellWatch r="G29949"/>
    <cellWatch r="G29950"/>
    <cellWatch r="G29951"/>
    <cellWatch r="G29952"/>
    <cellWatch r="G29953"/>
    <cellWatch r="G29954"/>
    <cellWatch r="G29955"/>
    <cellWatch r="G29956"/>
    <cellWatch r="G29957"/>
    <cellWatch r="G29958"/>
    <cellWatch r="G29959"/>
    <cellWatch r="G29960"/>
    <cellWatch r="G29961"/>
    <cellWatch r="G29962"/>
    <cellWatch r="G29963"/>
    <cellWatch r="G29964"/>
    <cellWatch r="G29965"/>
    <cellWatch r="G29966"/>
    <cellWatch r="G29967"/>
    <cellWatch r="G29968"/>
    <cellWatch r="G29969"/>
    <cellWatch r="G29970"/>
    <cellWatch r="G29971"/>
    <cellWatch r="G29972"/>
    <cellWatch r="G29973"/>
    <cellWatch r="G29974"/>
    <cellWatch r="G29975"/>
    <cellWatch r="G29976"/>
    <cellWatch r="G29977"/>
    <cellWatch r="G29978"/>
    <cellWatch r="G29979"/>
    <cellWatch r="G29980"/>
    <cellWatch r="G29981"/>
    <cellWatch r="G29982"/>
    <cellWatch r="G29983"/>
    <cellWatch r="G29984"/>
    <cellWatch r="G29985"/>
    <cellWatch r="G29986"/>
    <cellWatch r="G29987"/>
    <cellWatch r="G29988"/>
    <cellWatch r="G29989"/>
    <cellWatch r="G29990"/>
    <cellWatch r="G29991"/>
    <cellWatch r="G29992"/>
    <cellWatch r="G29993"/>
    <cellWatch r="G29994"/>
    <cellWatch r="G29995"/>
    <cellWatch r="G29996"/>
    <cellWatch r="G29997"/>
    <cellWatch r="G29998"/>
    <cellWatch r="G29999"/>
    <cellWatch r="G30000"/>
    <cellWatch r="G30001"/>
    <cellWatch r="G30002"/>
    <cellWatch r="G30003"/>
    <cellWatch r="G30004"/>
    <cellWatch r="G30005"/>
    <cellWatch r="G30006"/>
    <cellWatch r="G30007"/>
    <cellWatch r="G30008"/>
    <cellWatch r="G30009"/>
    <cellWatch r="G30010"/>
    <cellWatch r="G30011"/>
    <cellWatch r="G30012"/>
    <cellWatch r="G30013"/>
    <cellWatch r="G30014"/>
    <cellWatch r="G30015"/>
    <cellWatch r="G30016"/>
    <cellWatch r="G30017"/>
    <cellWatch r="G30018"/>
    <cellWatch r="G30019"/>
    <cellWatch r="G30020"/>
    <cellWatch r="G30021"/>
    <cellWatch r="G30022"/>
    <cellWatch r="G30023"/>
    <cellWatch r="G30024"/>
    <cellWatch r="G30025"/>
    <cellWatch r="G30026"/>
    <cellWatch r="G30027"/>
    <cellWatch r="G30028"/>
    <cellWatch r="G30029"/>
    <cellWatch r="G30030"/>
    <cellWatch r="G30031"/>
    <cellWatch r="G30032"/>
    <cellWatch r="G30033"/>
    <cellWatch r="G30034"/>
    <cellWatch r="G30035"/>
    <cellWatch r="G30036"/>
    <cellWatch r="G30037"/>
    <cellWatch r="G30038"/>
    <cellWatch r="G30039"/>
    <cellWatch r="G30040"/>
    <cellWatch r="G30041"/>
    <cellWatch r="G30042"/>
    <cellWatch r="G30043"/>
    <cellWatch r="G30044"/>
    <cellWatch r="G30045"/>
    <cellWatch r="G30046"/>
    <cellWatch r="G30047"/>
    <cellWatch r="G30048"/>
    <cellWatch r="G30049"/>
    <cellWatch r="G30050"/>
    <cellWatch r="G30051"/>
    <cellWatch r="G30052"/>
    <cellWatch r="G30053"/>
    <cellWatch r="G30054"/>
    <cellWatch r="G30055"/>
    <cellWatch r="G30056"/>
    <cellWatch r="G30057"/>
    <cellWatch r="G30058"/>
    <cellWatch r="G30059"/>
    <cellWatch r="G30060"/>
    <cellWatch r="G30061"/>
    <cellWatch r="G30062"/>
    <cellWatch r="G30063"/>
    <cellWatch r="G30064"/>
    <cellWatch r="G30065"/>
    <cellWatch r="G30066"/>
    <cellWatch r="G30067"/>
    <cellWatch r="G30068"/>
    <cellWatch r="G30069"/>
    <cellWatch r="G30070"/>
    <cellWatch r="G30071"/>
    <cellWatch r="G30072"/>
    <cellWatch r="G30073"/>
    <cellWatch r="G30074"/>
    <cellWatch r="G30075"/>
    <cellWatch r="G30076"/>
    <cellWatch r="G30077"/>
    <cellWatch r="G30078"/>
    <cellWatch r="G30079"/>
    <cellWatch r="G30080"/>
    <cellWatch r="G30081"/>
    <cellWatch r="G30082"/>
    <cellWatch r="G30083"/>
    <cellWatch r="G30084"/>
    <cellWatch r="G30085"/>
    <cellWatch r="G30086"/>
    <cellWatch r="G30087"/>
    <cellWatch r="G30088"/>
    <cellWatch r="G30089"/>
    <cellWatch r="G30090"/>
    <cellWatch r="G30091"/>
    <cellWatch r="G30092"/>
    <cellWatch r="G30093"/>
    <cellWatch r="G30094"/>
    <cellWatch r="G30095"/>
    <cellWatch r="G30096"/>
    <cellWatch r="G30097"/>
    <cellWatch r="G30098"/>
    <cellWatch r="G30099"/>
    <cellWatch r="G30100"/>
    <cellWatch r="G30101"/>
    <cellWatch r="G30102"/>
    <cellWatch r="G30103"/>
    <cellWatch r="G30104"/>
    <cellWatch r="G30105"/>
    <cellWatch r="G30106"/>
    <cellWatch r="G30107"/>
    <cellWatch r="G30108"/>
    <cellWatch r="G30109"/>
    <cellWatch r="G30110"/>
    <cellWatch r="G30111"/>
    <cellWatch r="G30112"/>
    <cellWatch r="G30113"/>
    <cellWatch r="G30114"/>
    <cellWatch r="G30115"/>
    <cellWatch r="G30116"/>
    <cellWatch r="G30117"/>
    <cellWatch r="G30118"/>
    <cellWatch r="G30119"/>
    <cellWatch r="G30120"/>
    <cellWatch r="G30121"/>
    <cellWatch r="G30122"/>
    <cellWatch r="G30123"/>
    <cellWatch r="G30124"/>
    <cellWatch r="G30125"/>
    <cellWatch r="G30126"/>
    <cellWatch r="G30127"/>
    <cellWatch r="G30128"/>
    <cellWatch r="G30129"/>
    <cellWatch r="G30130"/>
    <cellWatch r="G30131"/>
    <cellWatch r="G30132"/>
    <cellWatch r="G30133"/>
    <cellWatch r="G30134"/>
    <cellWatch r="G30135"/>
    <cellWatch r="G30136"/>
    <cellWatch r="G30137"/>
    <cellWatch r="G30138"/>
    <cellWatch r="G30139"/>
    <cellWatch r="G30140"/>
    <cellWatch r="G30141"/>
    <cellWatch r="G30142"/>
    <cellWatch r="G30143"/>
    <cellWatch r="G30144"/>
    <cellWatch r="G30145"/>
    <cellWatch r="G30146"/>
    <cellWatch r="G30147"/>
    <cellWatch r="G30148"/>
    <cellWatch r="G30149"/>
    <cellWatch r="G30150"/>
    <cellWatch r="G30151"/>
    <cellWatch r="G30152"/>
    <cellWatch r="G30153"/>
    <cellWatch r="G30154"/>
    <cellWatch r="G30155"/>
    <cellWatch r="G30156"/>
    <cellWatch r="G30157"/>
    <cellWatch r="G30158"/>
    <cellWatch r="G30159"/>
    <cellWatch r="G30160"/>
    <cellWatch r="G30161"/>
    <cellWatch r="G30162"/>
    <cellWatch r="G30163"/>
    <cellWatch r="G30164"/>
    <cellWatch r="G30165"/>
    <cellWatch r="G30166"/>
    <cellWatch r="G30167"/>
    <cellWatch r="G30168"/>
    <cellWatch r="G30169"/>
    <cellWatch r="G30170"/>
    <cellWatch r="G30171"/>
    <cellWatch r="G30172"/>
    <cellWatch r="G30173"/>
    <cellWatch r="G30174"/>
    <cellWatch r="G30175"/>
    <cellWatch r="G30176"/>
    <cellWatch r="G30177"/>
    <cellWatch r="G30178"/>
    <cellWatch r="G30179"/>
    <cellWatch r="G30180"/>
    <cellWatch r="G30181"/>
    <cellWatch r="G30182"/>
    <cellWatch r="G30183"/>
    <cellWatch r="G30184"/>
    <cellWatch r="G30185"/>
    <cellWatch r="G30186"/>
    <cellWatch r="G30187"/>
    <cellWatch r="G30188"/>
    <cellWatch r="G30189"/>
    <cellWatch r="G30190"/>
    <cellWatch r="G30191"/>
    <cellWatch r="G30192"/>
    <cellWatch r="G30193"/>
    <cellWatch r="G30194"/>
    <cellWatch r="G30195"/>
    <cellWatch r="G30196"/>
    <cellWatch r="G30197"/>
    <cellWatch r="G30198"/>
    <cellWatch r="G30199"/>
    <cellWatch r="G30200"/>
    <cellWatch r="G30201"/>
    <cellWatch r="G30202"/>
    <cellWatch r="G30203"/>
    <cellWatch r="G30204"/>
    <cellWatch r="G30205"/>
    <cellWatch r="G30206"/>
    <cellWatch r="G30207"/>
    <cellWatch r="G30208"/>
    <cellWatch r="G30209"/>
    <cellWatch r="G30210"/>
    <cellWatch r="G30211"/>
    <cellWatch r="G30212"/>
    <cellWatch r="G30213"/>
    <cellWatch r="G30214"/>
    <cellWatch r="G30215"/>
    <cellWatch r="G30216"/>
    <cellWatch r="G30217"/>
    <cellWatch r="G30218"/>
    <cellWatch r="G30219"/>
    <cellWatch r="G30220"/>
    <cellWatch r="G30221"/>
    <cellWatch r="G30222"/>
    <cellWatch r="G30223"/>
    <cellWatch r="G30224"/>
    <cellWatch r="G30225"/>
    <cellWatch r="G30226"/>
    <cellWatch r="G30227"/>
    <cellWatch r="G30228"/>
    <cellWatch r="G30229"/>
    <cellWatch r="G30230"/>
    <cellWatch r="G30231"/>
    <cellWatch r="G30232"/>
    <cellWatch r="G30233"/>
    <cellWatch r="G30234"/>
    <cellWatch r="G30235"/>
    <cellWatch r="G30236"/>
    <cellWatch r="G30237"/>
    <cellWatch r="G30238"/>
    <cellWatch r="G30239"/>
    <cellWatch r="G30240"/>
    <cellWatch r="G30241"/>
    <cellWatch r="G30242"/>
    <cellWatch r="G30243"/>
    <cellWatch r="G30244"/>
    <cellWatch r="G30245"/>
    <cellWatch r="G30246"/>
    <cellWatch r="G30247"/>
    <cellWatch r="G30248"/>
    <cellWatch r="G30249"/>
    <cellWatch r="G30250"/>
    <cellWatch r="G30251"/>
    <cellWatch r="G30252"/>
    <cellWatch r="G30253"/>
    <cellWatch r="G30254"/>
    <cellWatch r="G30255"/>
    <cellWatch r="G30256"/>
    <cellWatch r="G30257"/>
    <cellWatch r="G30258"/>
    <cellWatch r="G30259"/>
    <cellWatch r="G30260"/>
    <cellWatch r="G30261"/>
    <cellWatch r="G30262"/>
    <cellWatch r="G30263"/>
    <cellWatch r="G30264"/>
    <cellWatch r="G30265"/>
    <cellWatch r="G30266"/>
    <cellWatch r="G30267"/>
    <cellWatch r="G30268"/>
    <cellWatch r="G30269"/>
    <cellWatch r="G30270"/>
    <cellWatch r="G30271"/>
    <cellWatch r="G30272"/>
    <cellWatch r="G30273"/>
    <cellWatch r="G30274"/>
    <cellWatch r="G30275"/>
    <cellWatch r="G30276"/>
    <cellWatch r="G30277"/>
    <cellWatch r="G30278"/>
    <cellWatch r="G30279"/>
    <cellWatch r="G30280"/>
    <cellWatch r="G30281"/>
    <cellWatch r="G30282"/>
    <cellWatch r="G30283"/>
    <cellWatch r="G30284"/>
    <cellWatch r="G30285"/>
    <cellWatch r="G30286"/>
    <cellWatch r="G30287"/>
    <cellWatch r="G30288"/>
    <cellWatch r="G30289"/>
    <cellWatch r="G30290"/>
    <cellWatch r="G30291"/>
    <cellWatch r="G30292"/>
    <cellWatch r="G30293"/>
    <cellWatch r="G30294"/>
    <cellWatch r="G30295"/>
    <cellWatch r="G30296"/>
    <cellWatch r="G30297"/>
    <cellWatch r="G30298"/>
    <cellWatch r="G30299"/>
    <cellWatch r="G30300"/>
    <cellWatch r="G30301"/>
    <cellWatch r="G30302"/>
    <cellWatch r="G30303"/>
    <cellWatch r="G30304"/>
    <cellWatch r="G30305"/>
    <cellWatch r="G30306"/>
    <cellWatch r="G30307"/>
    <cellWatch r="G30308"/>
    <cellWatch r="G30309"/>
    <cellWatch r="G30310"/>
    <cellWatch r="G30311"/>
    <cellWatch r="G30312"/>
    <cellWatch r="G30313"/>
    <cellWatch r="G30314"/>
    <cellWatch r="G30315"/>
    <cellWatch r="G30316"/>
    <cellWatch r="G30317"/>
    <cellWatch r="G30318"/>
    <cellWatch r="G30319"/>
    <cellWatch r="G30320"/>
    <cellWatch r="G30321"/>
    <cellWatch r="G30322"/>
    <cellWatch r="G30323"/>
    <cellWatch r="G30324"/>
    <cellWatch r="G30325"/>
    <cellWatch r="G30326"/>
    <cellWatch r="G30327"/>
    <cellWatch r="G30328"/>
    <cellWatch r="G30329"/>
    <cellWatch r="G30330"/>
    <cellWatch r="G30331"/>
    <cellWatch r="G30332"/>
    <cellWatch r="G30333"/>
    <cellWatch r="G30334"/>
    <cellWatch r="G30335"/>
    <cellWatch r="G30336"/>
    <cellWatch r="G30337"/>
    <cellWatch r="G30338"/>
    <cellWatch r="G30339"/>
    <cellWatch r="G30340"/>
    <cellWatch r="G30341"/>
    <cellWatch r="G30342"/>
    <cellWatch r="G30343"/>
    <cellWatch r="G30344"/>
    <cellWatch r="G30345"/>
    <cellWatch r="G30346"/>
    <cellWatch r="G30347"/>
    <cellWatch r="G30348"/>
    <cellWatch r="G30349"/>
    <cellWatch r="G30350"/>
    <cellWatch r="G30351"/>
    <cellWatch r="G30352"/>
    <cellWatch r="G30353"/>
    <cellWatch r="G30354"/>
    <cellWatch r="G30355"/>
    <cellWatch r="G30356"/>
    <cellWatch r="G30357"/>
    <cellWatch r="G30358"/>
    <cellWatch r="G30359"/>
    <cellWatch r="G30360"/>
    <cellWatch r="G30361"/>
    <cellWatch r="G30362"/>
    <cellWatch r="G30363"/>
    <cellWatch r="G30364"/>
    <cellWatch r="G30365"/>
    <cellWatch r="G30366"/>
    <cellWatch r="G30367"/>
    <cellWatch r="G30368"/>
    <cellWatch r="G30369"/>
    <cellWatch r="G30370"/>
    <cellWatch r="G30371"/>
    <cellWatch r="G30372"/>
    <cellWatch r="G30373"/>
    <cellWatch r="G30374"/>
    <cellWatch r="G30375"/>
    <cellWatch r="G30376"/>
    <cellWatch r="G30377"/>
    <cellWatch r="G30378"/>
    <cellWatch r="G30379"/>
    <cellWatch r="G30380"/>
    <cellWatch r="G30381"/>
    <cellWatch r="G30382"/>
    <cellWatch r="G30383"/>
    <cellWatch r="G30384"/>
    <cellWatch r="G30385"/>
    <cellWatch r="G30386"/>
    <cellWatch r="G30387"/>
    <cellWatch r="G30388"/>
    <cellWatch r="G30389"/>
    <cellWatch r="G30390"/>
    <cellWatch r="G30391"/>
    <cellWatch r="G30392"/>
    <cellWatch r="G30393"/>
    <cellWatch r="G30394"/>
    <cellWatch r="G30395"/>
    <cellWatch r="G30396"/>
    <cellWatch r="G30397"/>
    <cellWatch r="G30398"/>
    <cellWatch r="G30399"/>
    <cellWatch r="G30400"/>
    <cellWatch r="G30401"/>
    <cellWatch r="G30402"/>
    <cellWatch r="G30403"/>
    <cellWatch r="G30404"/>
    <cellWatch r="G30405"/>
    <cellWatch r="G30406"/>
    <cellWatch r="G30407"/>
    <cellWatch r="G30408"/>
    <cellWatch r="G30409"/>
    <cellWatch r="G30410"/>
    <cellWatch r="G30411"/>
    <cellWatch r="G30412"/>
    <cellWatch r="G30413"/>
    <cellWatch r="G30414"/>
    <cellWatch r="G30415"/>
    <cellWatch r="G30416"/>
    <cellWatch r="G30417"/>
    <cellWatch r="G30418"/>
    <cellWatch r="G30419"/>
    <cellWatch r="G30420"/>
    <cellWatch r="G30421"/>
    <cellWatch r="G30422"/>
    <cellWatch r="G30423"/>
    <cellWatch r="G30424"/>
    <cellWatch r="G30425"/>
    <cellWatch r="G30426"/>
    <cellWatch r="G30427"/>
    <cellWatch r="G30428"/>
    <cellWatch r="G30429"/>
    <cellWatch r="G30430"/>
    <cellWatch r="G30431"/>
    <cellWatch r="G30432"/>
    <cellWatch r="G30433"/>
    <cellWatch r="G30434"/>
    <cellWatch r="G30435"/>
    <cellWatch r="G30436"/>
    <cellWatch r="G30437"/>
    <cellWatch r="G30438"/>
    <cellWatch r="G30439"/>
    <cellWatch r="G30440"/>
    <cellWatch r="G30441"/>
    <cellWatch r="G30442"/>
    <cellWatch r="G30443"/>
    <cellWatch r="G30444"/>
    <cellWatch r="G30445"/>
    <cellWatch r="G30446"/>
    <cellWatch r="G30447"/>
    <cellWatch r="G30448"/>
    <cellWatch r="G30449"/>
    <cellWatch r="G30450"/>
    <cellWatch r="G30451"/>
    <cellWatch r="G30452"/>
    <cellWatch r="G30453"/>
    <cellWatch r="G30454"/>
    <cellWatch r="G30455"/>
    <cellWatch r="G30456"/>
    <cellWatch r="G30457"/>
    <cellWatch r="G30458"/>
    <cellWatch r="G30459"/>
    <cellWatch r="G30460"/>
    <cellWatch r="G30461"/>
    <cellWatch r="G30462"/>
    <cellWatch r="G30463"/>
    <cellWatch r="G30464"/>
    <cellWatch r="G30465"/>
    <cellWatch r="G30466"/>
    <cellWatch r="G30467"/>
    <cellWatch r="G30468"/>
    <cellWatch r="G30469"/>
    <cellWatch r="G30470"/>
    <cellWatch r="G30471"/>
    <cellWatch r="G30472"/>
    <cellWatch r="G30473"/>
    <cellWatch r="G30474"/>
    <cellWatch r="G30475"/>
    <cellWatch r="G30476"/>
    <cellWatch r="G30477"/>
    <cellWatch r="G30478"/>
    <cellWatch r="G30479"/>
    <cellWatch r="G30480"/>
    <cellWatch r="G30481"/>
    <cellWatch r="G30482"/>
    <cellWatch r="G30483"/>
    <cellWatch r="G30484"/>
    <cellWatch r="G30485"/>
    <cellWatch r="G30486"/>
    <cellWatch r="G30487"/>
    <cellWatch r="G30488"/>
    <cellWatch r="G30489"/>
    <cellWatch r="G30490"/>
    <cellWatch r="G30491"/>
    <cellWatch r="G30492"/>
    <cellWatch r="G30493"/>
    <cellWatch r="G30494"/>
    <cellWatch r="G30495"/>
    <cellWatch r="G30496"/>
    <cellWatch r="G30497"/>
    <cellWatch r="G30498"/>
    <cellWatch r="G30499"/>
    <cellWatch r="G30500"/>
    <cellWatch r="G30501"/>
    <cellWatch r="G30502"/>
    <cellWatch r="G30503"/>
    <cellWatch r="G30504"/>
    <cellWatch r="G30505"/>
    <cellWatch r="G30506"/>
    <cellWatch r="G30507"/>
    <cellWatch r="G30508"/>
    <cellWatch r="G30509"/>
    <cellWatch r="G30510"/>
    <cellWatch r="G30511"/>
    <cellWatch r="G30512"/>
    <cellWatch r="G30513"/>
    <cellWatch r="G30514"/>
    <cellWatch r="G30515"/>
    <cellWatch r="G30516"/>
    <cellWatch r="G30517"/>
    <cellWatch r="G30518"/>
    <cellWatch r="G30519"/>
    <cellWatch r="G30520"/>
    <cellWatch r="G30521"/>
    <cellWatch r="G30522"/>
    <cellWatch r="G30523"/>
    <cellWatch r="G30524"/>
    <cellWatch r="G30525"/>
    <cellWatch r="G30526"/>
    <cellWatch r="G30527"/>
    <cellWatch r="G30528"/>
    <cellWatch r="G30529"/>
    <cellWatch r="G30530"/>
    <cellWatch r="G30531"/>
    <cellWatch r="G30532"/>
    <cellWatch r="G30533"/>
    <cellWatch r="G30534"/>
    <cellWatch r="G30535"/>
    <cellWatch r="G30536"/>
    <cellWatch r="G30537"/>
    <cellWatch r="G30538"/>
    <cellWatch r="G30539"/>
    <cellWatch r="G30540"/>
    <cellWatch r="G30541"/>
    <cellWatch r="G30542"/>
    <cellWatch r="G30543"/>
    <cellWatch r="G30544"/>
    <cellWatch r="G30545"/>
    <cellWatch r="G30546"/>
    <cellWatch r="G30547"/>
    <cellWatch r="G30548"/>
    <cellWatch r="G30549"/>
    <cellWatch r="G30550"/>
    <cellWatch r="G30551"/>
    <cellWatch r="G30552"/>
    <cellWatch r="G30553"/>
    <cellWatch r="G30554"/>
    <cellWatch r="G30555"/>
    <cellWatch r="G30556"/>
    <cellWatch r="G30557"/>
    <cellWatch r="G30558"/>
    <cellWatch r="G30559"/>
    <cellWatch r="G30560"/>
    <cellWatch r="G30561"/>
    <cellWatch r="G30562"/>
    <cellWatch r="G30563"/>
    <cellWatch r="G30564"/>
    <cellWatch r="G30565"/>
    <cellWatch r="G30566"/>
    <cellWatch r="G30567"/>
    <cellWatch r="G30568"/>
    <cellWatch r="G30569"/>
    <cellWatch r="G30570"/>
    <cellWatch r="G30571"/>
    <cellWatch r="G30572"/>
    <cellWatch r="G30573"/>
    <cellWatch r="G30574"/>
    <cellWatch r="G30575"/>
    <cellWatch r="G30576"/>
    <cellWatch r="G30577"/>
    <cellWatch r="G30578"/>
    <cellWatch r="G30579"/>
    <cellWatch r="G30580"/>
    <cellWatch r="G30581"/>
    <cellWatch r="G30582"/>
    <cellWatch r="G30583"/>
    <cellWatch r="G30584"/>
    <cellWatch r="G30585"/>
    <cellWatch r="G30586"/>
    <cellWatch r="G30587"/>
    <cellWatch r="G30588"/>
    <cellWatch r="G30589"/>
    <cellWatch r="G30590"/>
    <cellWatch r="G30591"/>
    <cellWatch r="G30592"/>
    <cellWatch r="G30593"/>
    <cellWatch r="G30594"/>
    <cellWatch r="G30595"/>
    <cellWatch r="G30596"/>
    <cellWatch r="G30597"/>
    <cellWatch r="G30598"/>
    <cellWatch r="G30599"/>
    <cellWatch r="G30600"/>
    <cellWatch r="G30601"/>
    <cellWatch r="G30602"/>
    <cellWatch r="G30603"/>
    <cellWatch r="G30604"/>
    <cellWatch r="G30605"/>
    <cellWatch r="G30606"/>
    <cellWatch r="G30607"/>
    <cellWatch r="G30608"/>
    <cellWatch r="G30609"/>
    <cellWatch r="G30610"/>
    <cellWatch r="G30611"/>
    <cellWatch r="G30612"/>
    <cellWatch r="G30613"/>
    <cellWatch r="G30614"/>
    <cellWatch r="G30615"/>
    <cellWatch r="G30616"/>
    <cellWatch r="G30617"/>
    <cellWatch r="G30618"/>
    <cellWatch r="G30619"/>
    <cellWatch r="G30620"/>
    <cellWatch r="G30621"/>
    <cellWatch r="G30622"/>
    <cellWatch r="G30623"/>
    <cellWatch r="G30624"/>
    <cellWatch r="G30625"/>
    <cellWatch r="G30626"/>
    <cellWatch r="G30627"/>
    <cellWatch r="G30628"/>
    <cellWatch r="G30629"/>
    <cellWatch r="G30630"/>
    <cellWatch r="G30631"/>
    <cellWatch r="G30632"/>
    <cellWatch r="G30633"/>
    <cellWatch r="G30634"/>
    <cellWatch r="G30635"/>
    <cellWatch r="G30636"/>
    <cellWatch r="G30637"/>
    <cellWatch r="G30638"/>
    <cellWatch r="G30639"/>
    <cellWatch r="G30640"/>
    <cellWatch r="G30641"/>
    <cellWatch r="G30642"/>
    <cellWatch r="G30643"/>
    <cellWatch r="G30644"/>
    <cellWatch r="G30645"/>
    <cellWatch r="G30646"/>
    <cellWatch r="G30647"/>
    <cellWatch r="G30648"/>
    <cellWatch r="G30649"/>
    <cellWatch r="G30650"/>
    <cellWatch r="G30651"/>
    <cellWatch r="G30652"/>
    <cellWatch r="G30653"/>
    <cellWatch r="G30654"/>
    <cellWatch r="G30655"/>
    <cellWatch r="G30656"/>
    <cellWatch r="G30657"/>
    <cellWatch r="G30658"/>
    <cellWatch r="G30659"/>
    <cellWatch r="G30660"/>
    <cellWatch r="G30661"/>
    <cellWatch r="G30662"/>
    <cellWatch r="G30663"/>
    <cellWatch r="G30664"/>
    <cellWatch r="G30665"/>
    <cellWatch r="G30666"/>
    <cellWatch r="G30667"/>
    <cellWatch r="G30668"/>
    <cellWatch r="G30669"/>
    <cellWatch r="G30670"/>
    <cellWatch r="G30671"/>
    <cellWatch r="G30672"/>
    <cellWatch r="G30673"/>
    <cellWatch r="G30674"/>
    <cellWatch r="G30675"/>
    <cellWatch r="G30676"/>
    <cellWatch r="G30677"/>
    <cellWatch r="G30678"/>
    <cellWatch r="G30679"/>
    <cellWatch r="G30680"/>
    <cellWatch r="G30681"/>
    <cellWatch r="G30682"/>
    <cellWatch r="G30683"/>
    <cellWatch r="G30684"/>
    <cellWatch r="G30685"/>
    <cellWatch r="G30686"/>
    <cellWatch r="G30687"/>
    <cellWatch r="G30688"/>
    <cellWatch r="G30689"/>
    <cellWatch r="G30690"/>
    <cellWatch r="G30691"/>
    <cellWatch r="G30692"/>
    <cellWatch r="G30693"/>
    <cellWatch r="G30694"/>
    <cellWatch r="G30695"/>
    <cellWatch r="G30696"/>
    <cellWatch r="G30697"/>
    <cellWatch r="G30698"/>
    <cellWatch r="G30699"/>
    <cellWatch r="G30700"/>
    <cellWatch r="G30701"/>
    <cellWatch r="G30702"/>
    <cellWatch r="G30703"/>
    <cellWatch r="G30704"/>
    <cellWatch r="G30705"/>
    <cellWatch r="G30706"/>
    <cellWatch r="G30707"/>
    <cellWatch r="G30708"/>
    <cellWatch r="G30709"/>
    <cellWatch r="G30710"/>
    <cellWatch r="G30711"/>
    <cellWatch r="G30712"/>
    <cellWatch r="G30713"/>
    <cellWatch r="G30714"/>
    <cellWatch r="G30715"/>
    <cellWatch r="G30716"/>
    <cellWatch r="G30717"/>
    <cellWatch r="G30718"/>
    <cellWatch r="G30719"/>
    <cellWatch r="G30720"/>
    <cellWatch r="G30721"/>
    <cellWatch r="G30722"/>
    <cellWatch r="G30723"/>
    <cellWatch r="G30724"/>
    <cellWatch r="G30725"/>
    <cellWatch r="G30726"/>
    <cellWatch r="G30727"/>
    <cellWatch r="G30728"/>
    <cellWatch r="G30729"/>
    <cellWatch r="G30730"/>
    <cellWatch r="G30731"/>
    <cellWatch r="G30732"/>
    <cellWatch r="G30733"/>
    <cellWatch r="G30734"/>
    <cellWatch r="G30735"/>
    <cellWatch r="G30736"/>
    <cellWatch r="G30737"/>
    <cellWatch r="G30738"/>
    <cellWatch r="G30739"/>
    <cellWatch r="G30740"/>
    <cellWatch r="G30741"/>
    <cellWatch r="G30742"/>
    <cellWatch r="G30743"/>
    <cellWatch r="G30744"/>
    <cellWatch r="G30745"/>
    <cellWatch r="G30746"/>
    <cellWatch r="G30747"/>
    <cellWatch r="G30748"/>
    <cellWatch r="G30749"/>
    <cellWatch r="G30750"/>
    <cellWatch r="G30751"/>
    <cellWatch r="G30752"/>
    <cellWatch r="G30753"/>
    <cellWatch r="G30754"/>
    <cellWatch r="G30755"/>
    <cellWatch r="G30756"/>
    <cellWatch r="G30757"/>
    <cellWatch r="G30758"/>
    <cellWatch r="G30759"/>
    <cellWatch r="G30760"/>
    <cellWatch r="G30761"/>
    <cellWatch r="G30762"/>
    <cellWatch r="G30763"/>
    <cellWatch r="G30764"/>
    <cellWatch r="G30765"/>
    <cellWatch r="G30766"/>
    <cellWatch r="G30767"/>
    <cellWatch r="G30768"/>
    <cellWatch r="G30769"/>
    <cellWatch r="G30770"/>
    <cellWatch r="G30771"/>
    <cellWatch r="G30772"/>
    <cellWatch r="G30773"/>
    <cellWatch r="G30774"/>
    <cellWatch r="G30775"/>
    <cellWatch r="G30776"/>
    <cellWatch r="G30777"/>
    <cellWatch r="G30778"/>
    <cellWatch r="G30779"/>
    <cellWatch r="G30780"/>
    <cellWatch r="G30781"/>
    <cellWatch r="G30782"/>
    <cellWatch r="G30783"/>
    <cellWatch r="G30784"/>
    <cellWatch r="G30785"/>
    <cellWatch r="G30786"/>
    <cellWatch r="G30787"/>
    <cellWatch r="G30788"/>
    <cellWatch r="G30789"/>
    <cellWatch r="G30790"/>
    <cellWatch r="G30791"/>
    <cellWatch r="G30792"/>
    <cellWatch r="G30793"/>
    <cellWatch r="G30794"/>
    <cellWatch r="G30795"/>
    <cellWatch r="G30796"/>
    <cellWatch r="G30797"/>
    <cellWatch r="G30798"/>
    <cellWatch r="G30799"/>
    <cellWatch r="G30800"/>
    <cellWatch r="G30801"/>
    <cellWatch r="G30802"/>
    <cellWatch r="G30803"/>
    <cellWatch r="G30804"/>
    <cellWatch r="G30805"/>
    <cellWatch r="G30806"/>
    <cellWatch r="G30807"/>
    <cellWatch r="G30808"/>
    <cellWatch r="G30809"/>
    <cellWatch r="G30810"/>
    <cellWatch r="G30811"/>
    <cellWatch r="G30812"/>
    <cellWatch r="G30813"/>
    <cellWatch r="G30814"/>
    <cellWatch r="G30815"/>
    <cellWatch r="G30816"/>
    <cellWatch r="G30817"/>
    <cellWatch r="G30818"/>
    <cellWatch r="G30819"/>
    <cellWatch r="G30820"/>
    <cellWatch r="G30821"/>
    <cellWatch r="G30822"/>
    <cellWatch r="G30823"/>
    <cellWatch r="G30824"/>
    <cellWatch r="G30825"/>
    <cellWatch r="G30826"/>
    <cellWatch r="G30827"/>
    <cellWatch r="G30828"/>
    <cellWatch r="G30829"/>
    <cellWatch r="G30830"/>
    <cellWatch r="G30831"/>
    <cellWatch r="G30832"/>
    <cellWatch r="G30833"/>
    <cellWatch r="G30834"/>
    <cellWatch r="G30835"/>
    <cellWatch r="G30836"/>
    <cellWatch r="G30837"/>
    <cellWatch r="G30838"/>
    <cellWatch r="G30839"/>
    <cellWatch r="G30840"/>
    <cellWatch r="G30841"/>
    <cellWatch r="G30842"/>
    <cellWatch r="G30843"/>
    <cellWatch r="G30844"/>
    <cellWatch r="G30845"/>
    <cellWatch r="G30846"/>
    <cellWatch r="G30847"/>
    <cellWatch r="G30848"/>
    <cellWatch r="G30849"/>
    <cellWatch r="G30850"/>
    <cellWatch r="G30851"/>
    <cellWatch r="G30852"/>
    <cellWatch r="G30853"/>
    <cellWatch r="G30854"/>
    <cellWatch r="G30855"/>
    <cellWatch r="G30856"/>
    <cellWatch r="G30857"/>
    <cellWatch r="G30858"/>
    <cellWatch r="G30859"/>
    <cellWatch r="G30860"/>
    <cellWatch r="G30861"/>
    <cellWatch r="G30862"/>
    <cellWatch r="G30863"/>
    <cellWatch r="G30864"/>
    <cellWatch r="G30865"/>
    <cellWatch r="G30866"/>
    <cellWatch r="G30867"/>
    <cellWatch r="G30868"/>
    <cellWatch r="G30869"/>
    <cellWatch r="G30870"/>
    <cellWatch r="G30871"/>
    <cellWatch r="G30872"/>
    <cellWatch r="G30873"/>
    <cellWatch r="G30874"/>
    <cellWatch r="G30875"/>
    <cellWatch r="G30876"/>
    <cellWatch r="G30877"/>
    <cellWatch r="G30878"/>
    <cellWatch r="G30879"/>
    <cellWatch r="G30880"/>
    <cellWatch r="G30881"/>
    <cellWatch r="G30882"/>
    <cellWatch r="G30883"/>
    <cellWatch r="G30884"/>
    <cellWatch r="G30885"/>
    <cellWatch r="G30886"/>
    <cellWatch r="G30887"/>
    <cellWatch r="G30888"/>
    <cellWatch r="G30889"/>
    <cellWatch r="G30890"/>
    <cellWatch r="G30891"/>
    <cellWatch r="G30892"/>
    <cellWatch r="G30893"/>
    <cellWatch r="G30894"/>
    <cellWatch r="G30895"/>
    <cellWatch r="G30896"/>
    <cellWatch r="G30897"/>
    <cellWatch r="G30898"/>
    <cellWatch r="G30899"/>
    <cellWatch r="G30900"/>
    <cellWatch r="G30901"/>
    <cellWatch r="G30902"/>
    <cellWatch r="G30903"/>
    <cellWatch r="G30904"/>
    <cellWatch r="G30905"/>
    <cellWatch r="G30906"/>
    <cellWatch r="G30907"/>
    <cellWatch r="G30908"/>
    <cellWatch r="G30909"/>
    <cellWatch r="G30910"/>
    <cellWatch r="G30911"/>
    <cellWatch r="G30912"/>
    <cellWatch r="G30913"/>
    <cellWatch r="G30914"/>
    <cellWatch r="G30915"/>
    <cellWatch r="G30916"/>
    <cellWatch r="G30917"/>
    <cellWatch r="G30918"/>
    <cellWatch r="G30919"/>
    <cellWatch r="G30920"/>
    <cellWatch r="G30921"/>
    <cellWatch r="G30922"/>
    <cellWatch r="G30923"/>
    <cellWatch r="G30924"/>
    <cellWatch r="G30925"/>
    <cellWatch r="G30926"/>
    <cellWatch r="G30927"/>
    <cellWatch r="G30928"/>
    <cellWatch r="G30929"/>
    <cellWatch r="G30930"/>
    <cellWatch r="G30931"/>
    <cellWatch r="G30932"/>
    <cellWatch r="G30933"/>
    <cellWatch r="G30934"/>
    <cellWatch r="G30935"/>
    <cellWatch r="G30936"/>
    <cellWatch r="G30937"/>
    <cellWatch r="G30938"/>
    <cellWatch r="G30939"/>
    <cellWatch r="G30940"/>
    <cellWatch r="G30941"/>
    <cellWatch r="G30942"/>
    <cellWatch r="G30943"/>
    <cellWatch r="G30944"/>
    <cellWatch r="G30945"/>
    <cellWatch r="G30946"/>
    <cellWatch r="G30947"/>
    <cellWatch r="G30948"/>
    <cellWatch r="G30949"/>
    <cellWatch r="G30950"/>
    <cellWatch r="G30951"/>
    <cellWatch r="G30952"/>
    <cellWatch r="G30953"/>
    <cellWatch r="G30954"/>
    <cellWatch r="G30955"/>
    <cellWatch r="G30956"/>
    <cellWatch r="G30957"/>
    <cellWatch r="G30958"/>
    <cellWatch r="G30959"/>
    <cellWatch r="G30960"/>
    <cellWatch r="G30961"/>
    <cellWatch r="G30962"/>
    <cellWatch r="G30963"/>
    <cellWatch r="G30964"/>
    <cellWatch r="G30965"/>
    <cellWatch r="G30966"/>
    <cellWatch r="G30967"/>
    <cellWatch r="G30968"/>
    <cellWatch r="G30969"/>
    <cellWatch r="G30970"/>
    <cellWatch r="G30971"/>
    <cellWatch r="G30972"/>
    <cellWatch r="G30973"/>
    <cellWatch r="G30974"/>
    <cellWatch r="G30975"/>
    <cellWatch r="G30976"/>
    <cellWatch r="G30977"/>
    <cellWatch r="G30978"/>
    <cellWatch r="G30979"/>
    <cellWatch r="G30980"/>
    <cellWatch r="G30981"/>
    <cellWatch r="G30982"/>
    <cellWatch r="G30983"/>
    <cellWatch r="G30984"/>
    <cellWatch r="G30985"/>
    <cellWatch r="G30986"/>
    <cellWatch r="G30987"/>
    <cellWatch r="G30988"/>
    <cellWatch r="G30989"/>
    <cellWatch r="G30990"/>
    <cellWatch r="G30991"/>
    <cellWatch r="G30992"/>
    <cellWatch r="G30993"/>
    <cellWatch r="G30994"/>
    <cellWatch r="G30995"/>
    <cellWatch r="G30996"/>
    <cellWatch r="G30997"/>
    <cellWatch r="G30998"/>
    <cellWatch r="G30999"/>
    <cellWatch r="G31000"/>
    <cellWatch r="G31001"/>
    <cellWatch r="G31002"/>
    <cellWatch r="G31003"/>
    <cellWatch r="G31004"/>
    <cellWatch r="G31005"/>
    <cellWatch r="G31006"/>
    <cellWatch r="G31007"/>
    <cellWatch r="G31008"/>
    <cellWatch r="G31009"/>
    <cellWatch r="G31010"/>
    <cellWatch r="G31011"/>
    <cellWatch r="G31012"/>
    <cellWatch r="G31013"/>
    <cellWatch r="G31014"/>
    <cellWatch r="G31015"/>
    <cellWatch r="G31016"/>
    <cellWatch r="G31017"/>
    <cellWatch r="G31018"/>
    <cellWatch r="G31019"/>
    <cellWatch r="G31020"/>
    <cellWatch r="G31021"/>
    <cellWatch r="G31022"/>
    <cellWatch r="G31023"/>
    <cellWatch r="G31024"/>
    <cellWatch r="G31025"/>
    <cellWatch r="G31026"/>
    <cellWatch r="G31027"/>
    <cellWatch r="G31028"/>
    <cellWatch r="G31029"/>
    <cellWatch r="G31030"/>
    <cellWatch r="G31031"/>
    <cellWatch r="G31032"/>
    <cellWatch r="G31033"/>
    <cellWatch r="G31034"/>
    <cellWatch r="G31035"/>
    <cellWatch r="G31036"/>
    <cellWatch r="G31037"/>
    <cellWatch r="G31038"/>
    <cellWatch r="G31039"/>
    <cellWatch r="G31040"/>
    <cellWatch r="G31041"/>
    <cellWatch r="G31042"/>
    <cellWatch r="G31043"/>
    <cellWatch r="G31044"/>
    <cellWatch r="G31045"/>
    <cellWatch r="G31046"/>
    <cellWatch r="G31047"/>
    <cellWatch r="G31048"/>
    <cellWatch r="G31049"/>
    <cellWatch r="G31050"/>
    <cellWatch r="G31051"/>
    <cellWatch r="G31052"/>
    <cellWatch r="G31053"/>
    <cellWatch r="G31054"/>
    <cellWatch r="G31055"/>
    <cellWatch r="G31056"/>
    <cellWatch r="G31057"/>
    <cellWatch r="G31058"/>
    <cellWatch r="G31059"/>
    <cellWatch r="G31060"/>
    <cellWatch r="G31061"/>
    <cellWatch r="G31062"/>
    <cellWatch r="G31063"/>
    <cellWatch r="G31064"/>
    <cellWatch r="G31065"/>
    <cellWatch r="G31066"/>
    <cellWatch r="G31067"/>
    <cellWatch r="G31068"/>
    <cellWatch r="G31069"/>
    <cellWatch r="G31070"/>
    <cellWatch r="G31071"/>
    <cellWatch r="G31072"/>
    <cellWatch r="G31073"/>
    <cellWatch r="G31074"/>
    <cellWatch r="G31075"/>
    <cellWatch r="G31076"/>
    <cellWatch r="G31077"/>
    <cellWatch r="G31078"/>
    <cellWatch r="G31079"/>
    <cellWatch r="G31080"/>
    <cellWatch r="G31081"/>
    <cellWatch r="G31082"/>
    <cellWatch r="G31083"/>
    <cellWatch r="G31084"/>
    <cellWatch r="G31085"/>
    <cellWatch r="G31086"/>
    <cellWatch r="G31087"/>
    <cellWatch r="G31088"/>
    <cellWatch r="G31089"/>
    <cellWatch r="G31090"/>
    <cellWatch r="G31091"/>
    <cellWatch r="G31092"/>
    <cellWatch r="G31093"/>
    <cellWatch r="G31094"/>
    <cellWatch r="G31095"/>
    <cellWatch r="G31096"/>
    <cellWatch r="G31097"/>
    <cellWatch r="G31098"/>
    <cellWatch r="G31099"/>
    <cellWatch r="G31100"/>
    <cellWatch r="G31101"/>
    <cellWatch r="G31102"/>
    <cellWatch r="G31103"/>
    <cellWatch r="G31104"/>
    <cellWatch r="G31105"/>
    <cellWatch r="G31106"/>
    <cellWatch r="G31107"/>
    <cellWatch r="G31108"/>
    <cellWatch r="G31109"/>
    <cellWatch r="G31110"/>
    <cellWatch r="G31111"/>
    <cellWatch r="G31112"/>
    <cellWatch r="G31113"/>
    <cellWatch r="G31114"/>
    <cellWatch r="G31115"/>
    <cellWatch r="G31116"/>
    <cellWatch r="G31117"/>
    <cellWatch r="G31118"/>
    <cellWatch r="G31119"/>
    <cellWatch r="G31120"/>
    <cellWatch r="G31121"/>
    <cellWatch r="G31122"/>
    <cellWatch r="G31123"/>
    <cellWatch r="G31124"/>
    <cellWatch r="G31125"/>
    <cellWatch r="G31126"/>
    <cellWatch r="G31127"/>
    <cellWatch r="G31128"/>
    <cellWatch r="G31129"/>
    <cellWatch r="G31130"/>
    <cellWatch r="G31131"/>
    <cellWatch r="G31132"/>
    <cellWatch r="G31133"/>
    <cellWatch r="G31134"/>
    <cellWatch r="G31135"/>
    <cellWatch r="G31136"/>
    <cellWatch r="G31137"/>
    <cellWatch r="G31138"/>
    <cellWatch r="G31139"/>
    <cellWatch r="G31140"/>
    <cellWatch r="G31141"/>
    <cellWatch r="G31142"/>
    <cellWatch r="G31143"/>
    <cellWatch r="G31144"/>
    <cellWatch r="G31145"/>
    <cellWatch r="G31146"/>
    <cellWatch r="G31147"/>
    <cellWatch r="G31148"/>
    <cellWatch r="G31149"/>
    <cellWatch r="G31150"/>
    <cellWatch r="G31151"/>
    <cellWatch r="G31152"/>
    <cellWatch r="G31153"/>
    <cellWatch r="G31154"/>
    <cellWatch r="G31155"/>
    <cellWatch r="G31156"/>
    <cellWatch r="G31157"/>
    <cellWatch r="G31158"/>
    <cellWatch r="G31159"/>
    <cellWatch r="G31160"/>
    <cellWatch r="G31161"/>
    <cellWatch r="G31162"/>
    <cellWatch r="G31163"/>
    <cellWatch r="G31164"/>
    <cellWatch r="G31165"/>
    <cellWatch r="G31166"/>
    <cellWatch r="G31167"/>
    <cellWatch r="G31168"/>
    <cellWatch r="G31169"/>
    <cellWatch r="G31170"/>
    <cellWatch r="G31171"/>
    <cellWatch r="G31172"/>
    <cellWatch r="G31173"/>
    <cellWatch r="G31174"/>
    <cellWatch r="G31175"/>
    <cellWatch r="G31176"/>
    <cellWatch r="G31177"/>
    <cellWatch r="G31178"/>
    <cellWatch r="G31179"/>
    <cellWatch r="G31180"/>
    <cellWatch r="G31181"/>
    <cellWatch r="G31182"/>
    <cellWatch r="G31183"/>
    <cellWatch r="G31184"/>
    <cellWatch r="G31185"/>
    <cellWatch r="G31186"/>
    <cellWatch r="G31187"/>
    <cellWatch r="G31188"/>
    <cellWatch r="G31189"/>
    <cellWatch r="G31190"/>
    <cellWatch r="G31191"/>
    <cellWatch r="G31192"/>
    <cellWatch r="G31193"/>
    <cellWatch r="G31194"/>
    <cellWatch r="G31195"/>
    <cellWatch r="G31196"/>
    <cellWatch r="G31197"/>
    <cellWatch r="G31198"/>
    <cellWatch r="G31199"/>
    <cellWatch r="G31200"/>
    <cellWatch r="G31201"/>
    <cellWatch r="G31202"/>
    <cellWatch r="G31203"/>
    <cellWatch r="G31204"/>
    <cellWatch r="G31205"/>
    <cellWatch r="G31206"/>
    <cellWatch r="G31207"/>
    <cellWatch r="G31208"/>
    <cellWatch r="G31209"/>
    <cellWatch r="G31210"/>
    <cellWatch r="G31211"/>
    <cellWatch r="G31212"/>
    <cellWatch r="G31213"/>
    <cellWatch r="G31214"/>
    <cellWatch r="G31215"/>
    <cellWatch r="G31216"/>
    <cellWatch r="G31217"/>
    <cellWatch r="G31218"/>
    <cellWatch r="G31219"/>
    <cellWatch r="G31220"/>
    <cellWatch r="G31221"/>
    <cellWatch r="G31222"/>
    <cellWatch r="G31223"/>
    <cellWatch r="G31224"/>
    <cellWatch r="G31225"/>
    <cellWatch r="G31226"/>
    <cellWatch r="G31227"/>
    <cellWatch r="G31228"/>
    <cellWatch r="G31229"/>
    <cellWatch r="G31230"/>
    <cellWatch r="G31231"/>
    <cellWatch r="G31232"/>
    <cellWatch r="G31233"/>
    <cellWatch r="G31234"/>
    <cellWatch r="G31235"/>
    <cellWatch r="G31236"/>
    <cellWatch r="G31237"/>
    <cellWatch r="G31238"/>
    <cellWatch r="G31239"/>
    <cellWatch r="G31240"/>
    <cellWatch r="G31241"/>
    <cellWatch r="G31242"/>
    <cellWatch r="G31243"/>
    <cellWatch r="G31244"/>
    <cellWatch r="G31245"/>
    <cellWatch r="G31246"/>
    <cellWatch r="G31247"/>
    <cellWatch r="G31248"/>
    <cellWatch r="G31249"/>
    <cellWatch r="G31250"/>
    <cellWatch r="G31251"/>
    <cellWatch r="G31252"/>
    <cellWatch r="G31253"/>
    <cellWatch r="G31254"/>
    <cellWatch r="G31255"/>
    <cellWatch r="G31256"/>
    <cellWatch r="G31257"/>
    <cellWatch r="G31258"/>
    <cellWatch r="G31259"/>
    <cellWatch r="G31260"/>
    <cellWatch r="G31261"/>
    <cellWatch r="G31262"/>
    <cellWatch r="G31263"/>
    <cellWatch r="G31264"/>
    <cellWatch r="G31265"/>
    <cellWatch r="G31266"/>
    <cellWatch r="G31267"/>
    <cellWatch r="G31268"/>
    <cellWatch r="G31269"/>
    <cellWatch r="G31270"/>
    <cellWatch r="G31271"/>
    <cellWatch r="G31272"/>
    <cellWatch r="G31273"/>
    <cellWatch r="G31274"/>
    <cellWatch r="G31275"/>
    <cellWatch r="G31276"/>
    <cellWatch r="G31277"/>
    <cellWatch r="G31278"/>
    <cellWatch r="G31279"/>
    <cellWatch r="G31280"/>
    <cellWatch r="G31281"/>
    <cellWatch r="G31282"/>
    <cellWatch r="G31283"/>
    <cellWatch r="G31284"/>
    <cellWatch r="G31285"/>
    <cellWatch r="G31286"/>
    <cellWatch r="G31287"/>
    <cellWatch r="G31288"/>
    <cellWatch r="G31289"/>
    <cellWatch r="G31290"/>
    <cellWatch r="G31291"/>
    <cellWatch r="G31292"/>
    <cellWatch r="G31293"/>
    <cellWatch r="G31294"/>
    <cellWatch r="G31295"/>
    <cellWatch r="G31296"/>
    <cellWatch r="G31297"/>
    <cellWatch r="G31298"/>
    <cellWatch r="G31299"/>
    <cellWatch r="G31300"/>
    <cellWatch r="G31301"/>
    <cellWatch r="G31302"/>
    <cellWatch r="G31303"/>
    <cellWatch r="G31304"/>
    <cellWatch r="G31305"/>
    <cellWatch r="G31306"/>
    <cellWatch r="G31307"/>
    <cellWatch r="G31308"/>
    <cellWatch r="G31309"/>
    <cellWatch r="G31310"/>
    <cellWatch r="G31311"/>
    <cellWatch r="G31312"/>
    <cellWatch r="G31313"/>
    <cellWatch r="G31314"/>
    <cellWatch r="G31315"/>
    <cellWatch r="G31316"/>
    <cellWatch r="G31317"/>
    <cellWatch r="G31318"/>
    <cellWatch r="G31319"/>
    <cellWatch r="G31320"/>
    <cellWatch r="G31321"/>
    <cellWatch r="G31322"/>
    <cellWatch r="G31323"/>
    <cellWatch r="G31324"/>
    <cellWatch r="G31325"/>
    <cellWatch r="G31326"/>
    <cellWatch r="G31327"/>
    <cellWatch r="G31328"/>
    <cellWatch r="G31329"/>
    <cellWatch r="G31330"/>
    <cellWatch r="G31331"/>
    <cellWatch r="G31332"/>
    <cellWatch r="G31333"/>
    <cellWatch r="G31334"/>
    <cellWatch r="G31335"/>
    <cellWatch r="G31336"/>
    <cellWatch r="G31337"/>
    <cellWatch r="G31338"/>
    <cellWatch r="G31339"/>
    <cellWatch r="G31340"/>
    <cellWatch r="G31341"/>
    <cellWatch r="G31342"/>
    <cellWatch r="G31343"/>
    <cellWatch r="G31344"/>
    <cellWatch r="G31345"/>
    <cellWatch r="G31346"/>
    <cellWatch r="G31347"/>
    <cellWatch r="G31348"/>
    <cellWatch r="G31349"/>
    <cellWatch r="G31350"/>
    <cellWatch r="G31351"/>
    <cellWatch r="G31352"/>
    <cellWatch r="G31353"/>
    <cellWatch r="G31354"/>
    <cellWatch r="G31355"/>
    <cellWatch r="G31356"/>
    <cellWatch r="G31357"/>
    <cellWatch r="G31358"/>
    <cellWatch r="G31359"/>
    <cellWatch r="G31360"/>
    <cellWatch r="G31361"/>
    <cellWatch r="G31362"/>
    <cellWatch r="G31363"/>
    <cellWatch r="G31364"/>
    <cellWatch r="G31365"/>
    <cellWatch r="G31366"/>
    <cellWatch r="G31367"/>
    <cellWatch r="G31368"/>
    <cellWatch r="G31369"/>
    <cellWatch r="G31370"/>
    <cellWatch r="G31371"/>
    <cellWatch r="G31372"/>
    <cellWatch r="G31373"/>
    <cellWatch r="G31374"/>
    <cellWatch r="G31375"/>
    <cellWatch r="G31376"/>
    <cellWatch r="G31377"/>
    <cellWatch r="G31378"/>
    <cellWatch r="G31379"/>
    <cellWatch r="G31380"/>
    <cellWatch r="G31381"/>
    <cellWatch r="G31382"/>
    <cellWatch r="G31383"/>
    <cellWatch r="G31384"/>
    <cellWatch r="G31385"/>
    <cellWatch r="G31386"/>
    <cellWatch r="G31387"/>
    <cellWatch r="G31388"/>
    <cellWatch r="G31389"/>
    <cellWatch r="G31390"/>
    <cellWatch r="G31391"/>
    <cellWatch r="G31392"/>
    <cellWatch r="G31393"/>
    <cellWatch r="G31394"/>
    <cellWatch r="G31395"/>
    <cellWatch r="G31396"/>
    <cellWatch r="G31397"/>
    <cellWatch r="G31398"/>
    <cellWatch r="G31399"/>
    <cellWatch r="G31400"/>
    <cellWatch r="G31401"/>
    <cellWatch r="G31402"/>
    <cellWatch r="G31403"/>
    <cellWatch r="G31404"/>
    <cellWatch r="G31405"/>
    <cellWatch r="G31406"/>
    <cellWatch r="G31407"/>
    <cellWatch r="G31408"/>
    <cellWatch r="G31409"/>
    <cellWatch r="G31410"/>
    <cellWatch r="G31411"/>
    <cellWatch r="G31412"/>
    <cellWatch r="G31413"/>
    <cellWatch r="G31414"/>
    <cellWatch r="G31415"/>
    <cellWatch r="G31416"/>
    <cellWatch r="G31417"/>
    <cellWatch r="G31418"/>
    <cellWatch r="G31419"/>
    <cellWatch r="G31420"/>
    <cellWatch r="G31421"/>
    <cellWatch r="G31422"/>
    <cellWatch r="G31423"/>
    <cellWatch r="G31424"/>
    <cellWatch r="G31425"/>
    <cellWatch r="G31426"/>
    <cellWatch r="G31427"/>
    <cellWatch r="G31428"/>
    <cellWatch r="G31429"/>
    <cellWatch r="G31430"/>
    <cellWatch r="G31431"/>
    <cellWatch r="G31432"/>
    <cellWatch r="G31433"/>
    <cellWatch r="G31434"/>
    <cellWatch r="G31435"/>
    <cellWatch r="G31436"/>
    <cellWatch r="G31437"/>
    <cellWatch r="G31438"/>
    <cellWatch r="G31439"/>
    <cellWatch r="G31440"/>
    <cellWatch r="G31441"/>
    <cellWatch r="G31442"/>
    <cellWatch r="G31443"/>
    <cellWatch r="G31444"/>
    <cellWatch r="G31445"/>
    <cellWatch r="G31446"/>
    <cellWatch r="G31447"/>
    <cellWatch r="G31448"/>
    <cellWatch r="G31449"/>
    <cellWatch r="G31450"/>
    <cellWatch r="G31451"/>
    <cellWatch r="G31452"/>
    <cellWatch r="G31453"/>
    <cellWatch r="G31454"/>
    <cellWatch r="G31455"/>
    <cellWatch r="G31456"/>
    <cellWatch r="G31457"/>
    <cellWatch r="G31458"/>
    <cellWatch r="G31459"/>
    <cellWatch r="G31460"/>
    <cellWatch r="G31461"/>
    <cellWatch r="G31462"/>
    <cellWatch r="G31463"/>
    <cellWatch r="G31464"/>
    <cellWatch r="G31465"/>
    <cellWatch r="G31466"/>
    <cellWatch r="G31467"/>
    <cellWatch r="G31468"/>
    <cellWatch r="G31469"/>
    <cellWatch r="G31470"/>
    <cellWatch r="G31471"/>
    <cellWatch r="G31472"/>
    <cellWatch r="G31473"/>
    <cellWatch r="G31474"/>
    <cellWatch r="G31475"/>
    <cellWatch r="G31476"/>
    <cellWatch r="G31477"/>
    <cellWatch r="G31478"/>
    <cellWatch r="G31479"/>
    <cellWatch r="G31480"/>
    <cellWatch r="G31481"/>
    <cellWatch r="G31482"/>
    <cellWatch r="G31483"/>
    <cellWatch r="G31484"/>
    <cellWatch r="G31485"/>
    <cellWatch r="G31486"/>
    <cellWatch r="G31487"/>
    <cellWatch r="G31488"/>
    <cellWatch r="G31489"/>
    <cellWatch r="G31490"/>
    <cellWatch r="G31491"/>
    <cellWatch r="G31492"/>
    <cellWatch r="G31493"/>
    <cellWatch r="G31494"/>
    <cellWatch r="G31495"/>
    <cellWatch r="G31496"/>
    <cellWatch r="G31497"/>
    <cellWatch r="G31498"/>
    <cellWatch r="G31499"/>
    <cellWatch r="G31500"/>
    <cellWatch r="G31501"/>
    <cellWatch r="G31502"/>
    <cellWatch r="G31503"/>
    <cellWatch r="G31504"/>
    <cellWatch r="G31505"/>
    <cellWatch r="G31506"/>
    <cellWatch r="G31507"/>
    <cellWatch r="G31508"/>
    <cellWatch r="G31509"/>
    <cellWatch r="G31510"/>
    <cellWatch r="G31511"/>
    <cellWatch r="G31512"/>
    <cellWatch r="G31513"/>
    <cellWatch r="G31514"/>
    <cellWatch r="G31515"/>
    <cellWatch r="G31516"/>
    <cellWatch r="G31517"/>
    <cellWatch r="G31518"/>
    <cellWatch r="G31519"/>
    <cellWatch r="G31520"/>
    <cellWatch r="G31521"/>
    <cellWatch r="G31522"/>
    <cellWatch r="G31523"/>
    <cellWatch r="G31524"/>
    <cellWatch r="G31525"/>
    <cellWatch r="G31526"/>
    <cellWatch r="G31527"/>
    <cellWatch r="G31528"/>
    <cellWatch r="G31529"/>
    <cellWatch r="G31530"/>
    <cellWatch r="G31531"/>
    <cellWatch r="G31532"/>
    <cellWatch r="G31533"/>
    <cellWatch r="G31534"/>
    <cellWatch r="G31535"/>
    <cellWatch r="G31536"/>
    <cellWatch r="G31537"/>
    <cellWatch r="G31538"/>
    <cellWatch r="G31539"/>
    <cellWatch r="G31540"/>
    <cellWatch r="G31541"/>
    <cellWatch r="G31542"/>
    <cellWatch r="G31543"/>
    <cellWatch r="G31544"/>
    <cellWatch r="G31545"/>
    <cellWatch r="G31546"/>
    <cellWatch r="G31547"/>
    <cellWatch r="G31548"/>
    <cellWatch r="G31549"/>
    <cellWatch r="G31550"/>
    <cellWatch r="G31551"/>
    <cellWatch r="G31552"/>
    <cellWatch r="G31553"/>
    <cellWatch r="G31554"/>
    <cellWatch r="G31555"/>
    <cellWatch r="G31556"/>
    <cellWatch r="G31557"/>
    <cellWatch r="G31558"/>
    <cellWatch r="G31559"/>
    <cellWatch r="G31560"/>
    <cellWatch r="G31561"/>
    <cellWatch r="G31562"/>
    <cellWatch r="G31563"/>
    <cellWatch r="G31564"/>
    <cellWatch r="G31565"/>
    <cellWatch r="G31566"/>
    <cellWatch r="G31567"/>
    <cellWatch r="G31568"/>
    <cellWatch r="G31569"/>
    <cellWatch r="G31570"/>
    <cellWatch r="G31571"/>
    <cellWatch r="G31572"/>
    <cellWatch r="G31573"/>
    <cellWatch r="G31574"/>
    <cellWatch r="G31575"/>
    <cellWatch r="G31576"/>
    <cellWatch r="G31577"/>
    <cellWatch r="G31578"/>
    <cellWatch r="G31579"/>
    <cellWatch r="G31580"/>
    <cellWatch r="G31581"/>
    <cellWatch r="G31582"/>
    <cellWatch r="G31583"/>
    <cellWatch r="G31584"/>
    <cellWatch r="G31585"/>
    <cellWatch r="G31586"/>
    <cellWatch r="G31587"/>
    <cellWatch r="G31588"/>
    <cellWatch r="G31589"/>
    <cellWatch r="G31590"/>
    <cellWatch r="G31591"/>
    <cellWatch r="G31592"/>
    <cellWatch r="G31593"/>
    <cellWatch r="G31594"/>
    <cellWatch r="G31595"/>
    <cellWatch r="G31596"/>
    <cellWatch r="G31597"/>
    <cellWatch r="G31598"/>
    <cellWatch r="G31599"/>
    <cellWatch r="G31600"/>
    <cellWatch r="G31601"/>
    <cellWatch r="G31602"/>
    <cellWatch r="G31603"/>
    <cellWatch r="G31604"/>
    <cellWatch r="G31605"/>
    <cellWatch r="G31606"/>
    <cellWatch r="G31607"/>
    <cellWatch r="G31608"/>
    <cellWatch r="G31609"/>
    <cellWatch r="G31610"/>
    <cellWatch r="G31611"/>
    <cellWatch r="G31612"/>
    <cellWatch r="G31613"/>
    <cellWatch r="G31614"/>
    <cellWatch r="G31615"/>
    <cellWatch r="G31616"/>
    <cellWatch r="G31617"/>
    <cellWatch r="G31618"/>
    <cellWatch r="G31619"/>
    <cellWatch r="G31620"/>
    <cellWatch r="G31621"/>
    <cellWatch r="G31622"/>
    <cellWatch r="G31623"/>
    <cellWatch r="G31624"/>
    <cellWatch r="G31625"/>
    <cellWatch r="G31626"/>
    <cellWatch r="G31627"/>
    <cellWatch r="G31628"/>
    <cellWatch r="G31629"/>
    <cellWatch r="G31630"/>
    <cellWatch r="G31631"/>
    <cellWatch r="G31632"/>
    <cellWatch r="G31633"/>
    <cellWatch r="G31634"/>
    <cellWatch r="G31635"/>
    <cellWatch r="G31636"/>
    <cellWatch r="G31637"/>
    <cellWatch r="G31638"/>
    <cellWatch r="G31639"/>
    <cellWatch r="G31640"/>
    <cellWatch r="G31641"/>
    <cellWatch r="G31642"/>
    <cellWatch r="G31643"/>
    <cellWatch r="G31644"/>
    <cellWatch r="G31645"/>
    <cellWatch r="G31646"/>
    <cellWatch r="G31647"/>
    <cellWatch r="G31648"/>
    <cellWatch r="G31649"/>
    <cellWatch r="G31650"/>
    <cellWatch r="G31651"/>
    <cellWatch r="G31652"/>
    <cellWatch r="G31653"/>
    <cellWatch r="G31654"/>
    <cellWatch r="G31655"/>
    <cellWatch r="G31656"/>
    <cellWatch r="G31657"/>
    <cellWatch r="G31658"/>
    <cellWatch r="G31659"/>
    <cellWatch r="G31660"/>
    <cellWatch r="G31661"/>
    <cellWatch r="G31662"/>
    <cellWatch r="G31663"/>
    <cellWatch r="G31664"/>
    <cellWatch r="G31665"/>
    <cellWatch r="G31666"/>
    <cellWatch r="G31667"/>
    <cellWatch r="G31668"/>
    <cellWatch r="G31669"/>
    <cellWatch r="G31670"/>
    <cellWatch r="G31671"/>
    <cellWatch r="G31672"/>
    <cellWatch r="G31673"/>
    <cellWatch r="G31674"/>
    <cellWatch r="G31675"/>
    <cellWatch r="G31676"/>
    <cellWatch r="G31677"/>
    <cellWatch r="G31678"/>
    <cellWatch r="G31679"/>
    <cellWatch r="G31680"/>
    <cellWatch r="G31681"/>
    <cellWatch r="G31682"/>
    <cellWatch r="G31683"/>
    <cellWatch r="G31684"/>
    <cellWatch r="G31685"/>
    <cellWatch r="G31686"/>
    <cellWatch r="G31687"/>
    <cellWatch r="G31688"/>
    <cellWatch r="G31689"/>
    <cellWatch r="G31690"/>
    <cellWatch r="G31691"/>
    <cellWatch r="G31692"/>
    <cellWatch r="G31693"/>
    <cellWatch r="G31694"/>
    <cellWatch r="G31695"/>
    <cellWatch r="G31696"/>
    <cellWatch r="G31697"/>
    <cellWatch r="G31698"/>
    <cellWatch r="G31699"/>
    <cellWatch r="G31700"/>
    <cellWatch r="G31701"/>
    <cellWatch r="G31702"/>
    <cellWatch r="G31703"/>
    <cellWatch r="G31704"/>
    <cellWatch r="G31705"/>
    <cellWatch r="G31706"/>
    <cellWatch r="G31707"/>
    <cellWatch r="G31708"/>
    <cellWatch r="G31709"/>
    <cellWatch r="G31710"/>
    <cellWatch r="G31711"/>
    <cellWatch r="G31712"/>
    <cellWatch r="G31713"/>
    <cellWatch r="G31714"/>
    <cellWatch r="G31715"/>
    <cellWatch r="G31716"/>
    <cellWatch r="G31717"/>
    <cellWatch r="G31718"/>
    <cellWatch r="G31719"/>
    <cellWatch r="G31720"/>
    <cellWatch r="G31721"/>
    <cellWatch r="G31722"/>
    <cellWatch r="G31723"/>
    <cellWatch r="G31724"/>
    <cellWatch r="G31725"/>
    <cellWatch r="G31726"/>
    <cellWatch r="G31727"/>
    <cellWatch r="G31728"/>
    <cellWatch r="G31729"/>
    <cellWatch r="G31730"/>
    <cellWatch r="G31731"/>
    <cellWatch r="G31732"/>
    <cellWatch r="G31733"/>
    <cellWatch r="G31734"/>
    <cellWatch r="G31735"/>
    <cellWatch r="G31736"/>
    <cellWatch r="G31737"/>
    <cellWatch r="G31738"/>
    <cellWatch r="G31739"/>
    <cellWatch r="G31740"/>
    <cellWatch r="G31741"/>
    <cellWatch r="G31742"/>
    <cellWatch r="G31743"/>
    <cellWatch r="G31744"/>
    <cellWatch r="G31745"/>
    <cellWatch r="G31746"/>
    <cellWatch r="G31747"/>
    <cellWatch r="G31748"/>
    <cellWatch r="G31749"/>
    <cellWatch r="G31750"/>
    <cellWatch r="G31751"/>
    <cellWatch r="G31752"/>
    <cellWatch r="G31753"/>
    <cellWatch r="G31754"/>
    <cellWatch r="G31755"/>
    <cellWatch r="G31756"/>
    <cellWatch r="G31757"/>
    <cellWatch r="G31758"/>
    <cellWatch r="G31759"/>
    <cellWatch r="G31760"/>
    <cellWatch r="G31761"/>
    <cellWatch r="G31762"/>
    <cellWatch r="G31763"/>
    <cellWatch r="G31764"/>
    <cellWatch r="G31765"/>
    <cellWatch r="G31766"/>
    <cellWatch r="G31767"/>
    <cellWatch r="G31768"/>
    <cellWatch r="G31769"/>
    <cellWatch r="G31770"/>
    <cellWatch r="G31771"/>
    <cellWatch r="G31772"/>
    <cellWatch r="G31773"/>
    <cellWatch r="G31774"/>
    <cellWatch r="G31775"/>
    <cellWatch r="G31776"/>
    <cellWatch r="G31777"/>
    <cellWatch r="G31778"/>
    <cellWatch r="G31779"/>
    <cellWatch r="G31780"/>
    <cellWatch r="G31781"/>
    <cellWatch r="G31782"/>
    <cellWatch r="G31783"/>
    <cellWatch r="G31784"/>
    <cellWatch r="G31785"/>
    <cellWatch r="G31786"/>
    <cellWatch r="G31787"/>
    <cellWatch r="G31788"/>
    <cellWatch r="G31789"/>
    <cellWatch r="G31790"/>
    <cellWatch r="G31791"/>
    <cellWatch r="G31792"/>
    <cellWatch r="G31793"/>
    <cellWatch r="G31794"/>
    <cellWatch r="G31795"/>
    <cellWatch r="G31796"/>
    <cellWatch r="G31797"/>
    <cellWatch r="G31798"/>
    <cellWatch r="G31799"/>
    <cellWatch r="G31800"/>
    <cellWatch r="G31801"/>
    <cellWatch r="G31802"/>
    <cellWatch r="G31803"/>
    <cellWatch r="G31804"/>
    <cellWatch r="G31805"/>
    <cellWatch r="G31806"/>
    <cellWatch r="G31807"/>
    <cellWatch r="G31808"/>
    <cellWatch r="G31809"/>
    <cellWatch r="G31810"/>
    <cellWatch r="G31811"/>
    <cellWatch r="G31812"/>
    <cellWatch r="G31813"/>
    <cellWatch r="G31814"/>
    <cellWatch r="G31815"/>
    <cellWatch r="G31816"/>
    <cellWatch r="G31817"/>
    <cellWatch r="G31818"/>
    <cellWatch r="G31819"/>
    <cellWatch r="G31820"/>
    <cellWatch r="G31821"/>
    <cellWatch r="G31822"/>
    <cellWatch r="G31823"/>
    <cellWatch r="G31824"/>
    <cellWatch r="G31825"/>
    <cellWatch r="G31826"/>
    <cellWatch r="G31827"/>
    <cellWatch r="G31828"/>
    <cellWatch r="G31829"/>
    <cellWatch r="G31830"/>
    <cellWatch r="G31831"/>
    <cellWatch r="G31832"/>
    <cellWatch r="G31833"/>
    <cellWatch r="G31834"/>
    <cellWatch r="G31835"/>
    <cellWatch r="G31836"/>
    <cellWatch r="G31837"/>
    <cellWatch r="G31838"/>
    <cellWatch r="G31839"/>
    <cellWatch r="G31840"/>
    <cellWatch r="G31841"/>
    <cellWatch r="G31842"/>
    <cellWatch r="G31843"/>
    <cellWatch r="G31844"/>
    <cellWatch r="G31845"/>
    <cellWatch r="G31846"/>
    <cellWatch r="G31847"/>
    <cellWatch r="G31848"/>
    <cellWatch r="G31849"/>
    <cellWatch r="G31850"/>
    <cellWatch r="G31851"/>
    <cellWatch r="G31852"/>
    <cellWatch r="G31853"/>
    <cellWatch r="G31854"/>
    <cellWatch r="G31855"/>
    <cellWatch r="G31856"/>
    <cellWatch r="G31857"/>
    <cellWatch r="G31858"/>
    <cellWatch r="G31859"/>
    <cellWatch r="G31860"/>
    <cellWatch r="G31861"/>
    <cellWatch r="G31862"/>
    <cellWatch r="G31863"/>
    <cellWatch r="G31864"/>
    <cellWatch r="G31865"/>
    <cellWatch r="G31866"/>
    <cellWatch r="G31867"/>
    <cellWatch r="G31868"/>
    <cellWatch r="G31869"/>
    <cellWatch r="G31870"/>
    <cellWatch r="G31871"/>
    <cellWatch r="G31872"/>
    <cellWatch r="G31873"/>
    <cellWatch r="G31874"/>
    <cellWatch r="G31875"/>
    <cellWatch r="G31876"/>
    <cellWatch r="G31877"/>
    <cellWatch r="G31878"/>
    <cellWatch r="G31879"/>
    <cellWatch r="G31880"/>
    <cellWatch r="G31881"/>
    <cellWatch r="G31882"/>
    <cellWatch r="G31883"/>
    <cellWatch r="G31884"/>
    <cellWatch r="G31885"/>
    <cellWatch r="G31886"/>
    <cellWatch r="G31887"/>
    <cellWatch r="G31888"/>
    <cellWatch r="G31889"/>
    <cellWatch r="G31890"/>
    <cellWatch r="G31891"/>
    <cellWatch r="G31892"/>
    <cellWatch r="G31893"/>
    <cellWatch r="G31894"/>
    <cellWatch r="G31895"/>
    <cellWatch r="G31896"/>
    <cellWatch r="G31897"/>
    <cellWatch r="G31898"/>
    <cellWatch r="G31899"/>
    <cellWatch r="G31900"/>
    <cellWatch r="G31901"/>
    <cellWatch r="G31902"/>
    <cellWatch r="G31903"/>
    <cellWatch r="G31904"/>
    <cellWatch r="G31905"/>
    <cellWatch r="G31906"/>
    <cellWatch r="G31907"/>
    <cellWatch r="G31908"/>
    <cellWatch r="G31909"/>
    <cellWatch r="G31910"/>
    <cellWatch r="G31911"/>
    <cellWatch r="G31912"/>
    <cellWatch r="G31913"/>
    <cellWatch r="G31914"/>
    <cellWatch r="G31915"/>
    <cellWatch r="G31916"/>
    <cellWatch r="G31917"/>
    <cellWatch r="G31918"/>
    <cellWatch r="G31919"/>
    <cellWatch r="G31920"/>
    <cellWatch r="G31921"/>
    <cellWatch r="G31922"/>
    <cellWatch r="G31923"/>
    <cellWatch r="G31924"/>
    <cellWatch r="G31925"/>
    <cellWatch r="G31926"/>
    <cellWatch r="G31927"/>
    <cellWatch r="G31928"/>
    <cellWatch r="G31929"/>
    <cellWatch r="G31930"/>
    <cellWatch r="G31931"/>
    <cellWatch r="G31932"/>
    <cellWatch r="G31933"/>
    <cellWatch r="G31934"/>
    <cellWatch r="G31935"/>
    <cellWatch r="G31936"/>
    <cellWatch r="G31937"/>
    <cellWatch r="G31938"/>
    <cellWatch r="G31939"/>
    <cellWatch r="G31940"/>
    <cellWatch r="G31941"/>
    <cellWatch r="G31942"/>
    <cellWatch r="G31943"/>
    <cellWatch r="G31944"/>
    <cellWatch r="G31945"/>
    <cellWatch r="G31946"/>
    <cellWatch r="G31947"/>
    <cellWatch r="G31948"/>
    <cellWatch r="G31949"/>
    <cellWatch r="G31950"/>
    <cellWatch r="G31951"/>
    <cellWatch r="G31952"/>
    <cellWatch r="G31953"/>
    <cellWatch r="G31954"/>
    <cellWatch r="G31955"/>
    <cellWatch r="G31956"/>
    <cellWatch r="G31957"/>
    <cellWatch r="G31958"/>
    <cellWatch r="G31959"/>
    <cellWatch r="G31960"/>
    <cellWatch r="G31961"/>
    <cellWatch r="G31962"/>
    <cellWatch r="G31963"/>
    <cellWatch r="G31964"/>
    <cellWatch r="G31965"/>
    <cellWatch r="G31966"/>
    <cellWatch r="G31967"/>
    <cellWatch r="G31968"/>
    <cellWatch r="G31969"/>
    <cellWatch r="G31970"/>
    <cellWatch r="G31971"/>
    <cellWatch r="G31972"/>
    <cellWatch r="G31973"/>
    <cellWatch r="G31974"/>
    <cellWatch r="G31975"/>
    <cellWatch r="G31976"/>
    <cellWatch r="G31977"/>
    <cellWatch r="G31978"/>
    <cellWatch r="G31979"/>
    <cellWatch r="G31980"/>
    <cellWatch r="G31981"/>
    <cellWatch r="G31982"/>
    <cellWatch r="G31983"/>
    <cellWatch r="G31984"/>
    <cellWatch r="G31985"/>
    <cellWatch r="G31986"/>
    <cellWatch r="G31987"/>
    <cellWatch r="G31988"/>
    <cellWatch r="G31989"/>
    <cellWatch r="G31990"/>
    <cellWatch r="G31991"/>
    <cellWatch r="G31992"/>
    <cellWatch r="G31993"/>
    <cellWatch r="G31994"/>
    <cellWatch r="G31995"/>
    <cellWatch r="G31996"/>
    <cellWatch r="G31997"/>
    <cellWatch r="G31998"/>
    <cellWatch r="G31999"/>
    <cellWatch r="G32000"/>
    <cellWatch r="G32001"/>
    <cellWatch r="G32002"/>
    <cellWatch r="G32003"/>
    <cellWatch r="G32004"/>
    <cellWatch r="G32005"/>
    <cellWatch r="G32006"/>
    <cellWatch r="G32007"/>
    <cellWatch r="G32008"/>
    <cellWatch r="G32009"/>
    <cellWatch r="G32010"/>
    <cellWatch r="G32011"/>
    <cellWatch r="G32012"/>
    <cellWatch r="G32013"/>
    <cellWatch r="G32014"/>
    <cellWatch r="G32015"/>
    <cellWatch r="G32016"/>
    <cellWatch r="G32017"/>
    <cellWatch r="G32018"/>
    <cellWatch r="G32019"/>
    <cellWatch r="G32020"/>
    <cellWatch r="G32021"/>
    <cellWatch r="G32022"/>
    <cellWatch r="G32023"/>
    <cellWatch r="G32024"/>
    <cellWatch r="G32025"/>
    <cellWatch r="G32026"/>
    <cellWatch r="G32027"/>
    <cellWatch r="G32028"/>
    <cellWatch r="G32029"/>
    <cellWatch r="G32030"/>
    <cellWatch r="G32031"/>
    <cellWatch r="G32032"/>
    <cellWatch r="G32033"/>
    <cellWatch r="G32034"/>
    <cellWatch r="G32035"/>
    <cellWatch r="G32036"/>
    <cellWatch r="G32037"/>
    <cellWatch r="G32038"/>
    <cellWatch r="G32039"/>
    <cellWatch r="G32040"/>
    <cellWatch r="G32041"/>
    <cellWatch r="G32042"/>
    <cellWatch r="G32043"/>
    <cellWatch r="G32044"/>
    <cellWatch r="G32045"/>
    <cellWatch r="G32046"/>
    <cellWatch r="G32047"/>
    <cellWatch r="G32048"/>
    <cellWatch r="G32049"/>
    <cellWatch r="G32050"/>
    <cellWatch r="G32051"/>
    <cellWatch r="G32052"/>
    <cellWatch r="G32053"/>
    <cellWatch r="G32054"/>
    <cellWatch r="G32055"/>
    <cellWatch r="G32056"/>
    <cellWatch r="G32057"/>
    <cellWatch r="G32058"/>
    <cellWatch r="G32059"/>
    <cellWatch r="G32060"/>
    <cellWatch r="G32061"/>
    <cellWatch r="G32062"/>
    <cellWatch r="G32063"/>
    <cellWatch r="G32064"/>
    <cellWatch r="G32065"/>
    <cellWatch r="G32066"/>
    <cellWatch r="G32067"/>
    <cellWatch r="G32068"/>
    <cellWatch r="G32069"/>
    <cellWatch r="G32070"/>
    <cellWatch r="G32071"/>
    <cellWatch r="G32072"/>
    <cellWatch r="G32073"/>
    <cellWatch r="G32074"/>
    <cellWatch r="G32075"/>
    <cellWatch r="G32076"/>
    <cellWatch r="G32077"/>
    <cellWatch r="G32078"/>
    <cellWatch r="G32079"/>
    <cellWatch r="G32080"/>
    <cellWatch r="G32081"/>
    <cellWatch r="G32082"/>
    <cellWatch r="G32083"/>
    <cellWatch r="G32084"/>
    <cellWatch r="G32085"/>
    <cellWatch r="G32086"/>
    <cellWatch r="G32087"/>
    <cellWatch r="G32088"/>
    <cellWatch r="G32089"/>
    <cellWatch r="G32090"/>
    <cellWatch r="G32091"/>
    <cellWatch r="G32092"/>
    <cellWatch r="G32093"/>
    <cellWatch r="G32094"/>
    <cellWatch r="G32095"/>
    <cellWatch r="G32096"/>
    <cellWatch r="G32097"/>
    <cellWatch r="G32098"/>
    <cellWatch r="G32099"/>
    <cellWatch r="G32100"/>
    <cellWatch r="G32101"/>
    <cellWatch r="G32102"/>
    <cellWatch r="G32103"/>
    <cellWatch r="G32104"/>
    <cellWatch r="G32105"/>
    <cellWatch r="G32106"/>
    <cellWatch r="G32107"/>
    <cellWatch r="G32108"/>
    <cellWatch r="G32109"/>
    <cellWatch r="G32110"/>
    <cellWatch r="G32111"/>
    <cellWatch r="G32112"/>
    <cellWatch r="G32113"/>
    <cellWatch r="G32114"/>
    <cellWatch r="G32115"/>
    <cellWatch r="G32116"/>
    <cellWatch r="G32117"/>
    <cellWatch r="G32118"/>
    <cellWatch r="G32119"/>
    <cellWatch r="G32120"/>
    <cellWatch r="G32121"/>
    <cellWatch r="G32122"/>
    <cellWatch r="G32123"/>
    <cellWatch r="G32124"/>
    <cellWatch r="G32125"/>
    <cellWatch r="G32126"/>
    <cellWatch r="G32127"/>
    <cellWatch r="G32128"/>
    <cellWatch r="G32129"/>
    <cellWatch r="G32130"/>
    <cellWatch r="G32131"/>
    <cellWatch r="G32132"/>
    <cellWatch r="G32133"/>
    <cellWatch r="G32134"/>
    <cellWatch r="G32135"/>
    <cellWatch r="G32136"/>
    <cellWatch r="G32137"/>
    <cellWatch r="G32138"/>
    <cellWatch r="G32139"/>
    <cellWatch r="G32140"/>
    <cellWatch r="G32141"/>
    <cellWatch r="G32142"/>
    <cellWatch r="G32143"/>
    <cellWatch r="G32144"/>
    <cellWatch r="G32145"/>
    <cellWatch r="G32146"/>
    <cellWatch r="G32147"/>
    <cellWatch r="G32148"/>
    <cellWatch r="G32149"/>
    <cellWatch r="G32150"/>
    <cellWatch r="G32151"/>
    <cellWatch r="G32152"/>
    <cellWatch r="G32153"/>
    <cellWatch r="G32154"/>
    <cellWatch r="G32155"/>
    <cellWatch r="G32156"/>
    <cellWatch r="G32157"/>
    <cellWatch r="G32158"/>
    <cellWatch r="G32159"/>
    <cellWatch r="G32160"/>
    <cellWatch r="G32161"/>
    <cellWatch r="G32162"/>
    <cellWatch r="G32163"/>
    <cellWatch r="G32164"/>
    <cellWatch r="G32165"/>
    <cellWatch r="G32166"/>
    <cellWatch r="G32167"/>
    <cellWatch r="G32168"/>
    <cellWatch r="G32169"/>
    <cellWatch r="G32170"/>
    <cellWatch r="G32171"/>
    <cellWatch r="G32172"/>
    <cellWatch r="G32173"/>
    <cellWatch r="G32174"/>
    <cellWatch r="G32175"/>
    <cellWatch r="G32176"/>
    <cellWatch r="G32177"/>
    <cellWatch r="G32178"/>
    <cellWatch r="G32179"/>
    <cellWatch r="G32180"/>
    <cellWatch r="G32181"/>
    <cellWatch r="G32182"/>
    <cellWatch r="G32183"/>
    <cellWatch r="G32184"/>
    <cellWatch r="G32185"/>
    <cellWatch r="G32186"/>
    <cellWatch r="G32187"/>
    <cellWatch r="G32188"/>
    <cellWatch r="G32189"/>
    <cellWatch r="G32190"/>
    <cellWatch r="G32191"/>
    <cellWatch r="G32192"/>
    <cellWatch r="G32193"/>
    <cellWatch r="G32194"/>
    <cellWatch r="G32195"/>
    <cellWatch r="G32196"/>
    <cellWatch r="G32197"/>
    <cellWatch r="G32198"/>
    <cellWatch r="G32199"/>
    <cellWatch r="G32200"/>
    <cellWatch r="G32201"/>
    <cellWatch r="G32202"/>
    <cellWatch r="G32203"/>
    <cellWatch r="G32204"/>
    <cellWatch r="G32205"/>
    <cellWatch r="G32206"/>
    <cellWatch r="G32207"/>
    <cellWatch r="G32208"/>
    <cellWatch r="G32209"/>
    <cellWatch r="G32210"/>
    <cellWatch r="G32211"/>
    <cellWatch r="G32212"/>
    <cellWatch r="G32213"/>
    <cellWatch r="G32214"/>
    <cellWatch r="G32215"/>
    <cellWatch r="G32216"/>
    <cellWatch r="G32217"/>
    <cellWatch r="G32218"/>
    <cellWatch r="G32219"/>
    <cellWatch r="G32220"/>
    <cellWatch r="G32221"/>
    <cellWatch r="G32222"/>
    <cellWatch r="G32223"/>
    <cellWatch r="G32224"/>
    <cellWatch r="G32225"/>
    <cellWatch r="G32226"/>
    <cellWatch r="G32227"/>
    <cellWatch r="G32228"/>
    <cellWatch r="G32229"/>
    <cellWatch r="G32230"/>
    <cellWatch r="G32231"/>
    <cellWatch r="G32232"/>
    <cellWatch r="G32233"/>
    <cellWatch r="G32234"/>
    <cellWatch r="G32235"/>
    <cellWatch r="G32236"/>
    <cellWatch r="G32237"/>
    <cellWatch r="G32238"/>
    <cellWatch r="G32239"/>
    <cellWatch r="G32240"/>
    <cellWatch r="G32241"/>
    <cellWatch r="G32242"/>
    <cellWatch r="G32243"/>
    <cellWatch r="G32244"/>
    <cellWatch r="G32245"/>
    <cellWatch r="G32246"/>
    <cellWatch r="G32247"/>
    <cellWatch r="G32248"/>
    <cellWatch r="G32249"/>
    <cellWatch r="G32250"/>
    <cellWatch r="G32251"/>
    <cellWatch r="G32252"/>
    <cellWatch r="G32253"/>
    <cellWatch r="G32254"/>
    <cellWatch r="G32255"/>
    <cellWatch r="G32256"/>
    <cellWatch r="G32257"/>
    <cellWatch r="G32258"/>
    <cellWatch r="G32259"/>
    <cellWatch r="G32260"/>
    <cellWatch r="G32261"/>
    <cellWatch r="G32262"/>
    <cellWatch r="G32263"/>
    <cellWatch r="G32264"/>
    <cellWatch r="G32265"/>
    <cellWatch r="G32266"/>
    <cellWatch r="G32267"/>
    <cellWatch r="G32268"/>
    <cellWatch r="G32269"/>
    <cellWatch r="G32270"/>
    <cellWatch r="G32271"/>
    <cellWatch r="G32272"/>
    <cellWatch r="G32273"/>
    <cellWatch r="G32274"/>
    <cellWatch r="G32275"/>
    <cellWatch r="G32276"/>
    <cellWatch r="G32277"/>
    <cellWatch r="G32278"/>
    <cellWatch r="G32279"/>
    <cellWatch r="G32280"/>
    <cellWatch r="G32281"/>
    <cellWatch r="G32282"/>
    <cellWatch r="G32283"/>
    <cellWatch r="G32284"/>
    <cellWatch r="G32285"/>
    <cellWatch r="G32286"/>
    <cellWatch r="G32287"/>
    <cellWatch r="G32288"/>
    <cellWatch r="G32289"/>
    <cellWatch r="G32290"/>
    <cellWatch r="G32291"/>
    <cellWatch r="G32292"/>
    <cellWatch r="G32293"/>
    <cellWatch r="G32294"/>
    <cellWatch r="G32295"/>
    <cellWatch r="G32296"/>
    <cellWatch r="G32297"/>
    <cellWatch r="G32298"/>
    <cellWatch r="G32299"/>
    <cellWatch r="G32300"/>
    <cellWatch r="G32301"/>
    <cellWatch r="G32302"/>
    <cellWatch r="G32303"/>
    <cellWatch r="G32304"/>
    <cellWatch r="G32305"/>
    <cellWatch r="G32306"/>
    <cellWatch r="G32307"/>
    <cellWatch r="G32308"/>
    <cellWatch r="G32309"/>
    <cellWatch r="G32310"/>
    <cellWatch r="G32311"/>
    <cellWatch r="G32312"/>
    <cellWatch r="G32313"/>
    <cellWatch r="G32314"/>
    <cellWatch r="G32315"/>
    <cellWatch r="G32316"/>
    <cellWatch r="G32317"/>
    <cellWatch r="G32318"/>
    <cellWatch r="G32319"/>
    <cellWatch r="G32320"/>
    <cellWatch r="G32321"/>
    <cellWatch r="G32322"/>
    <cellWatch r="G32323"/>
    <cellWatch r="G32324"/>
    <cellWatch r="G32325"/>
    <cellWatch r="G32326"/>
    <cellWatch r="G32327"/>
    <cellWatch r="G32328"/>
    <cellWatch r="G32329"/>
    <cellWatch r="G32330"/>
    <cellWatch r="G32331"/>
    <cellWatch r="G32332"/>
    <cellWatch r="G32333"/>
    <cellWatch r="G32334"/>
    <cellWatch r="G32335"/>
    <cellWatch r="G32336"/>
    <cellWatch r="G32337"/>
    <cellWatch r="G32338"/>
    <cellWatch r="G32339"/>
    <cellWatch r="G32340"/>
    <cellWatch r="G32341"/>
    <cellWatch r="G32342"/>
    <cellWatch r="G32343"/>
    <cellWatch r="G32344"/>
    <cellWatch r="G32345"/>
    <cellWatch r="G32346"/>
    <cellWatch r="G32347"/>
    <cellWatch r="G32348"/>
    <cellWatch r="G32349"/>
    <cellWatch r="G32350"/>
    <cellWatch r="G32351"/>
    <cellWatch r="G32352"/>
    <cellWatch r="G32353"/>
    <cellWatch r="G32354"/>
    <cellWatch r="G32355"/>
    <cellWatch r="G32356"/>
    <cellWatch r="G32357"/>
    <cellWatch r="G32358"/>
    <cellWatch r="G32359"/>
    <cellWatch r="G32360"/>
    <cellWatch r="G32361"/>
    <cellWatch r="G32362"/>
    <cellWatch r="G32363"/>
    <cellWatch r="G32364"/>
    <cellWatch r="G32365"/>
    <cellWatch r="G32366"/>
    <cellWatch r="G32367"/>
    <cellWatch r="G32368"/>
    <cellWatch r="G32369"/>
    <cellWatch r="G32370"/>
    <cellWatch r="G32371"/>
    <cellWatch r="G32372"/>
    <cellWatch r="G32373"/>
    <cellWatch r="G32374"/>
    <cellWatch r="G32375"/>
    <cellWatch r="G32376"/>
    <cellWatch r="G32377"/>
    <cellWatch r="G32378"/>
    <cellWatch r="G32379"/>
    <cellWatch r="G32380"/>
    <cellWatch r="G32381"/>
    <cellWatch r="G32382"/>
    <cellWatch r="G32383"/>
    <cellWatch r="G32384"/>
    <cellWatch r="G32385"/>
    <cellWatch r="G32386"/>
    <cellWatch r="G32387"/>
    <cellWatch r="G32388"/>
    <cellWatch r="G32389"/>
    <cellWatch r="G32390"/>
    <cellWatch r="G32391"/>
    <cellWatch r="G32392"/>
    <cellWatch r="G32393"/>
    <cellWatch r="G32394"/>
    <cellWatch r="G32395"/>
    <cellWatch r="G32396"/>
    <cellWatch r="G32397"/>
    <cellWatch r="G32398"/>
    <cellWatch r="G32399"/>
    <cellWatch r="G32400"/>
    <cellWatch r="G32401"/>
    <cellWatch r="G32402"/>
    <cellWatch r="G32403"/>
    <cellWatch r="G32404"/>
    <cellWatch r="G32405"/>
    <cellWatch r="G32406"/>
    <cellWatch r="G32407"/>
    <cellWatch r="G32408"/>
    <cellWatch r="G32409"/>
    <cellWatch r="G32410"/>
    <cellWatch r="G32411"/>
    <cellWatch r="G32412"/>
    <cellWatch r="G32413"/>
    <cellWatch r="G32414"/>
    <cellWatch r="G32415"/>
    <cellWatch r="G32416"/>
    <cellWatch r="G32417"/>
    <cellWatch r="G32418"/>
    <cellWatch r="G32419"/>
    <cellWatch r="G32420"/>
    <cellWatch r="G32421"/>
    <cellWatch r="G32422"/>
    <cellWatch r="G32423"/>
    <cellWatch r="G32424"/>
    <cellWatch r="G32425"/>
    <cellWatch r="G32426"/>
    <cellWatch r="G32427"/>
    <cellWatch r="G32428"/>
    <cellWatch r="G32429"/>
    <cellWatch r="G32430"/>
    <cellWatch r="G32431"/>
    <cellWatch r="G32432"/>
    <cellWatch r="G32433"/>
    <cellWatch r="G32434"/>
    <cellWatch r="G32435"/>
    <cellWatch r="G32436"/>
    <cellWatch r="G32437"/>
    <cellWatch r="G32438"/>
    <cellWatch r="G32439"/>
    <cellWatch r="G32440"/>
    <cellWatch r="G32441"/>
    <cellWatch r="G32442"/>
    <cellWatch r="G32443"/>
    <cellWatch r="G32444"/>
    <cellWatch r="G32445"/>
    <cellWatch r="G32446"/>
    <cellWatch r="G32447"/>
    <cellWatch r="G32448"/>
    <cellWatch r="G32449"/>
    <cellWatch r="G32450"/>
    <cellWatch r="G32451"/>
    <cellWatch r="G32452"/>
    <cellWatch r="G32453"/>
    <cellWatch r="G32454"/>
    <cellWatch r="G32455"/>
    <cellWatch r="G32456"/>
    <cellWatch r="G32457"/>
    <cellWatch r="G32458"/>
    <cellWatch r="G32459"/>
    <cellWatch r="G32460"/>
    <cellWatch r="G32461"/>
    <cellWatch r="G32462"/>
    <cellWatch r="G32463"/>
    <cellWatch r="G32464"/>
    <cellWatch r="G32465"/>
    <cellWatch r="G32466"/>
    <cellWatch r="G32467"/>
    <cellWatch r="G32468"/>
    <cellWatch r="G32469"/>
    <cellWatch r="G32470"/>
    <cellWatch r="G32471"/>
    <cellWatch r="G32472"/>
    <cellWatch r="G32473"/>
    <cellWatch r="G32474"/>
    <cellWatch r="G32475"/>
    <cellWatch r="G32476"/>
    <cellWatch r="G32477"/>
    <cellWatch r="G32478"/>
    <cellWatch r="G32479"/>
    <cellWatch r="G32480"/>
    <cellWatch r="G32481"/>
    <cellWatch r="G32482"/>
    <cellWatch r="G32483"/>
    <cellWatch r="G32484"/>
    <cellWatch r="G32485"/>
    <cellWatch r="G32486"/>
    <cellWatch r="G32487"/>
    <cellWatch r="G32488"/>
    <cellWatch r="G32489"/>
    <cellWatch r="G32490"/>
    <cellWatch r="G32491"/>
    <cellWatch r="G32492"/>
    <cellWatch r="G32493"/>
    <cellWatch r="G32494"/>
    <cellWatch r="G32495"/>
    <cellWatch r="G32496"/>
    <cellWatch r="G32497"/>
    <cellWatch r="G32498"/>
    <cellWatch r="G32499"/>
    <cellWatch r="G32500"/>
    <cellWatch r="G32501"/>
    <cellWatch r="G32502"/>
    <cellWatch r="G32503"/>
    <cellWatch r="G32504"/>
    <cellWatch r="G32505"/>
    <cellWatch r="G32506"/>
    <cellWatch r="G32507"/>
    <cellWatch r="G32508"/>
    <cellWatch r="G32509"/>
    <cellWatch r="G32510"/>
    <cellWatch r="G32511"/>
    <cellWatch r="G32512"/>
    <cellWatch r="G32513"/>
    <cellWatch r="G32514"/>
    <cellWatch r="G32515"/>
    <cellWatch r="G32516"/>
    <cellWatch r="G32517"/>
    <cellWatch r="G32518"/>
    <cellWatch r="G32519"/>
    <cellWatch r="G32520"/>
    <cellWatch r="G32521"/>
    <cellWatch r="G32522"/>
    <cellWatch r="G32523"/>
    <cellWatch r="G32524"/>
    <cellWatch r="G32525"/>
    <cellWatch r="G32526"/>
    <cellWatch r="G32527"/>
    <cellWatch r="G32528"/>
    <cellWatch r="G32529"/>
    <cellWatch r="G32530"/>
    <cellWatch r="G32531"/>
    <cellWatch r="G32532"/>
    <cellWatch r="G32533"/>
    <cellWatch r="G32534"/>
    <cellWatch r="G32535"/>
    <cellWatch r="G32536"/>
    <cellWatch r="G32537"/>
    <cellWatch r="G32538"/>
    <cellWatch r="G32539"/>
    <cellWatch r="G32540"/>
    <cellWatch r="G32541"/>
    <cellWatch r="G32542"/>
    <cellWatch r="G32543"/>
    <cellWatch r="G32544"/>
    <cellWatch r="G32545"/>
    <cellWatch r="G32546"/>
    <cellWatch r="G32547"/>
    <cellWatch r="G32548"/>
    <cellWatch r="G32549"/>
    <cellWatch r="G32550"/>
    <cellWatch r="G32551"/>
    <cellWatch r="G32552"/>
    <cellWatch r="G32553"/>
    <cellWatch r="G32554"/>
    <cellWatch r="G32555"/>
    <cellWatch r="G32556"/>
    <cellWatch r="G32557"/>
    <cellWatch r="G32558"/>
    <cellWatch r="G32559"/>
    <cellWatch r="G32560"/>
    <cellWatch r="G32561"/>
    <cellWatch r="G32562"/>
    <cellWatch r="G32563"/>
    <cellWatch r="G32564"/>
    <cellWatch r="G32565"/>
    <cellWatch r="G32566"/>
    <cellWatch r="G32567"/>
    <cellWatch r="G32568"/>
    <cellWatch r="G32569"/>
    <cellWatch r="G32570"/>
    <cellWatch r="G32571"/>
    <cellWatch r="G32572"/>
    <cellWatch r="G32573"/>
    <cellWatch r="G32574"/>
    <cellWatch r="G32575"/>
    <cellWatch r="G32576"/>
    <cellWatch r="G32577"/>
    <cellWatch r="G32578"/>
    <cellWatch r="G32579"/>
    <cellWatch r="G32580"/>
    <cellWatch r="G32581"/>
    <cellWatch r="G32582"/>
    <cellWatch r="G32583"/>
    <cellWatch r="G32584"/>
    <cellWatch r="G32585"/>
    <cellWatch r="G32586"/>
    <cellWatch r="G32587"/>
    <cellWatch r="G32588"/>
    <cellWatch r="G32589"/>
    <cellWatch r="G32590"/>
    <cellWatch r="G32591"/>
    <cellWatch r="G32592"/>
    <cellWatch r="G32593"/>
    <cellWatch r="G32594"/>
    <cellWatch r="G32595"/>
    <cellWatch r="G32596"/>
    <cellWatch r="G32597"/>
    <cellWatch r="G32598"/>
    <cellWatch r="G32599"/>
    <cellWatch r="G32600"/>
    <cellWatch r="G32601"/>
    <cellWatch r="G32602"/>
    <cellWatch r="G32603"/>
    <cellWatch r="G32604"/>
    <cellWatch r="G32605"/>
    <cellWatch r="G32606"/>
    <cellWatch r="G32607"/>
    <cellWatch r="G32608"/>
    <cellWatch r="G32609"/>
    <cellWatch r="G32610"/>
    <cellWatch r="G32611"/>
    <cellWatch r="G32612"/>
    <cellWatch r="G32613"/>
    <cellWatch r="G32614"/>
    <cellWatch r="G32615"/>
    <cellWatch r="G32616"/>
    <cellWatch r="G32617"/>
    <cellWatch r="G32618"/>
    <cellWatch r="G32619"/>
    <cellWatch r="G32620"/>
    <cellWatch r="G32621"/>
    <cellWatch r="G32622"/>
    <cellWatch r="G32623"/>
    <cellWatch r="G32624"/>
    <cellWatch r="G32625"/>
    <cellWatch r="G32626"/>
    <cellWatch r="G32627"/>
    <cellWatch r="G32628"/>
    <cellWatch r="G32629"/>
    <cellWatch r="G32630"/>
    <cellWatch r="G32631"/>
    <cellWatch r="G32632"/>
    <cellWatch r="G32633"/>
    <cellWatch r="G32634"/>
    <cellWatch r="G32635"/>
    <cellWatch r="G32636"/>
    <cellWatch r="G32637"/>
    <cellWatch r="G32638"/>
    <cellWatch r="G32639"/>
    <cellWatch r="G32640"/>
    <cellWatch r="G32641"/>
    <cellWatch r="G32642"/>
    <cellWatch r="G32643"/>
    <cellWatch r="G32644"/>
    <cellWatch r="G32645"/>
    <cellWatch r="G32646"/>
    <cellWatch r="G32647"/>
    <cellWatch r="G32648"/>
    <cellWatch r="G32649"/>
    <cellWatch r="G32650"/>
    <cellWatch r="G32651"/>
    <cellWatch r="G32652"/>
    <cellWatch r="G32653"/>
    <cellWatch r="G32654"/>
    <cellWatch r="G32655"/>
    <cellWatch r="G32656"/>
    <cellWatch r="G32657"/>
    <cellWatch r="G32658"/>
    <cellWatch r="G32659"/>
    <cellWatch r="G32660"/>
    <cellWatch r="G32661"/>
    <cellWatch r="G32662"/>
    <cellWatch r="G32663"/>
    <cellWatch r="G32664"/>
    <cellWatch r="G32665"/>
    <cellWatch r="G32666"/>
    <cellWatch r="G32667"/>
    <cellWatch r="G32668"/>
    <cellWatch r="G32669"/>
    <cellWatch r="G32670"/>
    <cellWatch r="G32671"/>
    <cellWatch r="G32672"/>
    <cellWatch r="G32673"/>
    <cellWatch r="G32674"/>
    <cellWatch r="G32675"/>
    <cellWatch r="G32676"/>
    <cellWatch r="G32677"/>
    <cellWatch r="G32678"/>
    <cellWatch r="G32679"/>
    <cellWatch r="G32680"/>
    <cellWatch r="G32681"/>
    <cellWatch r="G32682"/>
    <cellWatch r="G32683"/>
    <cellWatch r="G32684"/>
    <cellWatch r="G32685"/>
    <cellWatch r="G32686"/>
    <cellWatch r="G32687"/>
    <cellWatch r="G32688"/>
    <cellWatch r="G32689"/>
    <cellWatch r="G32690"/>
    <cellWatch r="G32691"/>
    <cellWatch r="G32692"/>
    <cellWatch r="G32693"/>
    <cellWatch r="G32694"/>
    <cellWatch r="G32695"/>
    <cellWatch r="G32696"/>
    <cellWatch r="G32697"/>
    <cellWatch r="G32698"/>
    <cellWatch r="G32699"/>
    <cellWatch r="G32700"/>
    <cellWatch r="G32701"/>
    <cellWatch r="G32702"/>
    <cellWatch r="G32703"/>
    <cellWatch r="G32704"/>
    <cellWatch r="G32705"/>
    <cellWatch r="G32706"/>
    <cellWatch r="G32707"/>
    <cellWatch r="G32708"/>
    <cellWatch r="G32709"/>
    <cellWatch r="G32710"/>
    <cellWatch r="G32711"/>
    <cellWatch r="G32712"/>
    <cellWatch r="G32713"/>
    <cellWatch r="G32714"/>
    <cellWatch r="G32715"/>
    <cellWatch r="G32716"/>
    <cellWatch r="G32717"/>
    <cellWatch r="G32718"/>
    <cellWatch r="G32719"/>
    <cellWatch r="G32720"/>
    <cellWatch r="G32721"/>
    <cellWatch r="G32722"/>
    <cellWatch r="G32723"/>
    <cellWatch r="G32724"/>
    <cellWatch r="G32725"/>
    <cellWatch r="G32726"/>
    <cellWatch r="G32727"/>
    <cellWatch r="G32728"/>
    <cellWatch r="G32729"/>
    <cellWatch r="G32730"/>
    <cellWatch r="G32731"/>
    <cellWatch r="G32732"/>
    <cellWatch r="G32733"/>
    <cellWatch r="G32734"/>
    <cellWatch r="G32735"/>
    <cellWatch r="G32736"/>
    <cellWatch r="G32737"/>
    <cellWatch r="G32738"/>
    <cellWatch r="G32739"/>
    <cellWatch r="G32740"/>
    <cellWatch r="G32741"/>
    <cellWatch r="G32742"/>
    <cellWatch r="G32743"/>
    <cellWatch r="G32744"/>
    <cellWatch r="G32745"/>
    <cellWatch r="G32746"/>
    <cellWatch r="G32747"/>
    <cellWatch r="G32748"/>
    <cellWatch r="G32749"/>
    <cellWatch r="G32750"/>
    <cellWatch r="G32751"/>
    <cellWatch r="G32752"/>
    <cellWatch r="G32753"/>
    <cellWatch r="G32754"/>
    <cellWatch r="G32755"/>
    <cellWatch r="G32756"/>
    <cellWatch r="G32757"/>
    <cellWatch r="G32758"/>
    <cellWatch r="G32759"/>
    <cellWatch r="G32760"/>
    <cellWatch r="G32761"/>
    <cellWatch r="G32762"/>
    <cellWatch r="G32763"/>
    <cellWatch r="G32764"/>
    <cellWatch r="G32765"/>
    <cellWatch r="G32766"/>
    <cellWatch r="G32767"/>
    <cellWatch r="G32768"/>
    <cellWatch r="G32769"/>
    <cellWatch r="G32770"/>
    <cellWatch r="G32771"/>
    <cellWatch r="G32772"/>
    <cellWatch r="G32773"/>
    <cellWatch r="G32774"/>
    <cellWatch r="G32775"/>
    <cellWatch r="G32776"/>
    <cellWatch r="G32777"/>
    <cellWatch r="G32778"/>
    <cellWatch r="G32779"/>
    <cellWatch r="G32780"/>
    <cellWatch r="G32781"/>
    <cellWatch r="G32782"/>
    <cellWatch r="G32783"/>
    <cellWatch r="G32784"/>
    <cellWatch r="G32785"/>
    <cellWatch r="G32786"/>
    <cellWatch r="G32787"/>
    <cellWatch r="G32788"/>
    <cellWatch r="G32789"/>
    <cellWatch r="G32790"/>
    <cellWatch r="G32791"/>
    <cellWatch r="G32792"/>
    <cellWatch r="G32793"/>
    <cellWatch r="G32794"/>
    <cellWatch r="G32795"/>
    <cellWatch r="G32796"/>
    <cellWatch r="G32797"/>
    <cellWatch r="G32798"/>
    <cellWatch r="G32799"/>
    <cellWatch r="G32800"/>
    <cellWatch r="G32801"/>
    <cellWatch r="G32802"/>
    <cellWatch r="G32803"/>
    <cellWatch r="G32804"/>
    <cellWatch r="G32805"/>
    <cellWatch r="G32806"/>
    <cellWatch r="G32807"/>
    <cellWatch r="G32808"/>
    <cellWatch r="G32809"/>
    <cellWatch r="G32810"/>
    <cellWatch r="G32811"/>
    <cellWatch r="G32812"/>
    <cellWatch r="G32813"/>
    <cellWatch r="G32814"/>
    <cellWatch r="G32815"/>
    <cellWatch r="G32816"/>
    <cellWatch r="G32817"/>
    <cellWatch r="G32818"/>
    <cellWatch r="G32819"/>
    <cellWatch r="G32820"/>
    <cellWatch r="G32821"/>
    <cellWatch r="G32822"/>
    <cellWatch r="G32823"/>
    <cellWatch r="G32824"/>
    <cellWatch r="G32825"/>
    <cellWatch r="G32826"/>
    <cellWatch r="G32827"/>
    <cellWatch r="G32828"/>
    <cellWatch r="G32829"/>
    <cellWatch r="G32830"/>
    <cellWatch r="G32831"/>
    <cellWatch r="G32832"/>
    <cellWatch r="G32833"/>
    <cellWatch r="G32834"/>
    <cellWatch r="G32835"/>
    <cellWatch r="G32836"/>
    <cellWatch r="G32837"/>
    <cellWatch r="G32838"/>
    <cellWatch r="G32839"/>
    <cellWatch r="G32840"/>
    <cellWatch r="G32841"/>
    <cellWatch r="G32842"/>
    <cellWatch r="G32843"/>
    <cellWatch r="G32844"/>
    <cellWatch r="G32845"/>
    <cellWatch r="G32846"/>
    <cellWatch r="G32847"/>
    <cellWatch r="G32848"/>
    <cellWatch r="G32849"/>
    <cellWatch r="G32850"/>
    <cellWatch r="G32851"/>
    <cellWatch r="G32852"/>
    <cellWatch r="G32853"/>
    <cellWatch r="G32854"/>
    <cellWatch r="G32855"/>
    <cellWatch r="G32856"/>
    <cellWatch r="G32857"/>
    <cellWatch r="G32858"/>
    <cellWatch r="G32859"/>
    <cellWatch r="G32860"/>
    <cellWatch r="G32861"/>
    <cellWatch r="G32862"/>
    <cellWatch r="G32863"/>
    <cellWatch r="G32864"/>
    <cellWatch r="G32865"/>
    <cellWatch r="G32866"/>
    <cellWatch r="G32867"/>
    <cellWatch r="G32868"/>
    <cellWatch r="G32869"/>
    <cellWatch r="G32870"/>
    <cellWatch r="G32871"/>
    <cellWatch r="G32872"/>
    <cellWatch r="G32873"/>
    <cellWatch r="G32874"/>
    <cellWatch r="G32875"/>
    <cellWatch r="G32876"/>
    <cellWatch r="G32877"/>
    <cellWatch r="G32878"/>
    <cellWatch r="G32879"/>
    <cellWatch r="G32880"/>
    <cellWatch r="G32881"/>
    <cellWatch r="G32882"/>
    <cellWatch r="G32883"/>
    <cellWatch r="G32884"/>
    <cellWatch r="G32885"/>
    <cellWatch r="G32886"/>
    <cellWatch r="G32887"/>
    <cellWatch r="G32888"/>
    <cellWatch r="G32889"/>
    <cellWatch r="G32890"/>
    <cellWatch r="G32891"/>
    <cellWatch r="G32892"/>
    <cellWatch r="G32893"/>
    <cellWatch r="G32894"/>
    <cellWatch r="G32895"/>
    <cellWatch r="G32896"/>
    <cellWatch r="G32897"/>
    <cellWatch r="G32898"/>
    <cellWatch r="G32899"/>
    <cellWatch r="G32900"/>
    <cellWatch r="G32901"/>
    <cellWatch r="G32902"/>
    <cellWatch r="G32903"/>
    <cellWatch r="G32904"/>
    <cellWatch r="G32905"/>
    <cellWatch r="G32906"/>
    <cellWatch r="G32907"/>
    <cellWatch r="G32908"/>
    <cellWatch r="G32909"/>
    <cellWatch r="G32910"/>
    <cellWatch r="G32911"/>
    <cellWatch r="G32912"/>
    <cellWatch r="G32913"/>
    <cellWatch r="G32914"/>
    <cellWatch r="G32915"/>
    <cellWatch r="G32916"/>
    <cellWatch r="G32917"/>
    <cellWatch r="G32918"/>
    <cellWatch r="G32919"/>
    <cellWatch r="G32920"/>
    <cellWatch r="G32921"/>
    <cellWatch r="G32922"/>
    <cellWatch r="G32923"/>
    <cellWatch r="G32924"/>
    <cellWatch r="G32925"/>
    <cellWatch r="G32926"/>
    <cellWatch r="G32927"/>
    <cellWatch r="G32928"/>
    <cellWatch r="G32929"/>
    <cellWatch r="G32930"/>
    <cellWatch r="G32931"/>
    <cellWatch r="G32932"/>
    <cellWatch r="G32933"/>
    <cellWatch r="G32934"/>
    <cellWatch r="G32935"/>
    <cellWatch r="G32936"/>
    <cellWatch r="G32937"/>
    <cellWatch r="G32938"/>
    <cellWatch r="G32939"/>
    <cellWatch r="G32940"/>
    <cellWatch r="G32941"/>
    <cellWatch r="G32942"/>
    <cellWatch r="G32943"/>
    <cellWatch r="G32944"/>
    <cellWatch r="G32945"/>
    <cellWatch r="G32946"/>
    <cellWatch r="G32947"/>
    <cellWatch r="G32948"/>
    <cellWatch r="G32949"/>
    <cellWatch r="G32950"/>
    <cellWatch r="G32951"/>
    <cellWatch r="G32952"/>
    <cellWatch r="G32953"/>
    <cellWatch r="G32954"/>
    <cellWatch r="G32955"/>
    <cellWatch r="G32956"/>
    <cellWatch r="G32957"/>
    <cellWatch r="G32958"/>
    <cellWatch r="G32959"/>
    <cellWatch r="G32960"/>
    <cellWatch r="G32961"/>
    <cellWatch r="G32962"/>
    <cellWatch r="G32963"/>
    <cellWatch r="G32964"/>
    <cellWatch r="G32965"/>
    <cellWatch r="G32966"/>
    <cellWatch r="G32967"/>
    <cellWatch r="G32968"/>
    <cellWatch r="G32969"/>
    <cellWatch r="G32970"/>
    <cellWatch r="G32971"/>
    <cellWatch r="G32972"/>
    <cellWatch r="G32973"/>
    <cellWatch r="G32974"/>
    <cellWatch r="G32975"/>
    <cellWatch r="G32976"/>
    <cellWatch r="G32977"/>
    <cellWatch r="G32978"/>
    <cellWatch r="G32979"/>
    <cellWatch r="G32980"/>
    <cellWatch r="G32981"/>
    <cellWatch r="G32982"/>
    <cellWatch r="G32983"/>
    <cellWatch r="G32984"/>
    <cellWatch r="G32985"/>
    <cellWatch r="G32986"/>
    <cellWatch r="G32987"/>
    <cellWatch r="G32988"/>
    <cellWatch r="G32989"/>
    <cellWatch r="G32990"/>
    <cellWatch r="G32991"/>
    <cellWatch r="G32992"/>
    <cellWatch r="G32993"/>
    <cellWatch r="G32994"/>
    <cellWatch r="G32995"/>
    <cellWatch r="G32996"/>
    <cellWatch r="G32997"/>
    <cellWatch r="G32998"/>
    <cellWatch r="G32999"/>
    <cellWatch r="G33000"/>
    <cellWatch r="G33001"/>
    <cellWatch r="G33002"/>
    <cellWatch r="G33003"/>
    <cellWatch r="G33004"/>
    <cellWatch r="G33005"/>
    <cellWatch r="G33006"/>
    <cellWatch r="G33007"/>
    <cellWatch r="G33008"/>
    <cellWatch r="G33009"/>
    <cellWatch r="G33010"/>
    <cellWatch r="G33011"/>
    <cellWatch r="G33012"/>
    <cellWatch r="G33013"/>
    <cellWatch r="G33014"/>
    <cellWatch r="G33015"/>
    <cellWatch r="G33016"/>
    <cellWatch r="G33017"/>
    <cellWatch r="G33018"/>
    <cellWatch r="G33019"/>
    <cellWatch r="G33020"/>
    <cellWatch r="G33021"/>
    <cellWatch r="G33022"/>
    <cellWatch r="G33023"/>
    <cellWatch r="G33024"/>
    <cellWatch r="G33025"/>
    <cellWatch r="G33026"/>
    <cellWatch r="G33027"/>
    <cellWatch r="G33028"/>
    <cellWatch r="G33029"/>
    <cellWatch r="G33030"/>
    <cellWatch r="G33031"/>
    <cellWatch r="G33032"/>
    <cellWatch r="G33033"/>
    <cellWatch r="G33034"/>
    <cellWatch r="G33035"/>
    <cellWatch r="G33036"/>
    <cellWatch r="G33037"/>
    <cellWatch r="G33038"/>
    <cellWatch r="G33039"/>
    <cellWatch r="G33040"/>
    <cellWatch r="G33041"/>
    <cellWatch r="G33042"/>
    <cellWatch r="G33043"/>
    <cellWatch r="G33044"/>
    <cellWatch r="G33045"/>
    <cellWatch r="G33046"/>
    <cellWatch r="G33047"/>
    <cellWatch r="G33048"/>
    <cellWatch r="G33049"/>
    <cellWatch r="G33050"/>
    <cellWatch r="G33051"/>
    <cellWatch r="G33052"/>
    <cellWatch r="G33053"/>
    <cellWatch r="G33054"/>
    <cellWatch r="G33055"/>
    <cellWatch r="G33056"/>
    <cellWatch r="G33057"/>
    <cellWatch r="G33058"/>
    <cellWatch r="G33059"/>
    <cellWatch r="G33060"/>
    <cellWatch r="G33061"/>
    <cellWatch r="G33062"/>
    <cellWatch r="G33063"/>
    <cellWatch r="G33064"/>
    <cellWatch r="G33065"/>
    <cellWatch r="G33066"/>
    <cellWatch r="G33067"/>
    <cellWatch r="G33068"/>
    <cellWatch r="G33069"/>
    <cellWatch r="G33070"/>
    <cellWatch r="G33071"/>
    <cellWatch r="G33072"/>
    <cellWatch r="G33073"/>
    <cellWatch r="G33074"/>
    <cellWatch r="G33075"/>
    <cellWatch r="G33076"/>
    <cellWatch r="G33077"/>
    <cellWatch r="G33078"/>
    <cellWatch r="G33079"/>
    <cellWatch r="G33080"/>
    <cellWatch r="G33081"/>
    <cellWatch r="G33082"/>
    <cellWatch r="G33083"/>
    <cellWatch r="G33084"/>
    <cellWatch r="G33085"/>
    <cellWatch r="G33086"/>
    <cellWatch r="G33087"/>
    <cellWatch r="G33088"/>
    <cellWatch r="G33089"/>
    <cellWatch r="G33090"/>
    <cellWatch r="G33091"/>
    <cellWatch r="G33092"/>
    <cellWatch r="G33093"/>
    <cellWatch r="G33094"/>
    <cellWatch r="G33095"/>
    <cellWatch r="G33096"/>
    <cellWatch r="G33097"/>
    <cellWatch r="G33098"/>
    <cellWatch r="G33099"/>
    <cellWatch r="G33100"/>
    <cellWatch r="G33101"/>
    <cellWatch r="G33102"/>
    <cellWatch r="G33103"/>
    <cellWatch r="G33104"/>
    <cellWatch r="G33105"/>
    <cellWatch r="G33106"/>
    <cellWatch r="G33107"/>
    <cellWatch r="G33108"/>
    <cellWatch r="G33109"/>
    <cellWatch r="G33110"/>
    <cellWatch r="G33111"/>
    <cellWatch r="G33112"/>
    <cellWatch r="G33113"/>
    <cellWatch r="G33114"/>
    <cellWatch r="G33115"/>
    <cellWatch r="G33116"/>
    <cellWatch r="G33117"/>
    <cellWatch r="G33118"/>
    <cellWatch r="G33119"/>
    <cellWatch r="G33120"/>
    <cellWatch r="G33121"/>
    <cellWatch r="G33122"/>
    <cellWatch r="G33123"/>
    <cellWatch r="G33124"/>
    <cellWatch r="G33125"/>
    <cellWatch r="G33126"/>
    <cellWatch r="G33127"/>
    <cellWatch r="G33128"/>
    <cellWatch r="G33129"/>
    <cellWatch r="G33130"/>
    <cellWatch r="G33131"/>
    <cellWatch r="G33132"/>
    <cellWatch r="G33133"/>
    <cellWatch r="G33134"/>
    <cellWatch r="G33135"/>
    <cellWatch r="G33136"/>
    <cellWatch r="G33137"/>
    <cellWatch r="G33138"/>
    <cellWatch r="G33139"/>
    <cellWatch r="G33140"/>
    <cellWatch r="G33141"/>
    <cellWatch r="G33142"/>
    <cellWatch r="G33143"/>
    <cellWatch r="G33144"/>
    <cellWatch r="G33145"/>
    <cellWatch r="G33146"/>
    <cellWatch r="G33147"/>
    <cellWatch r="G33148"/>
    <cellWatch r="G33149"/>
    <cellWatch r="G33150"/>
    <cellWatch r="G33151"/>
    <cellWatch r="G33152"/>
    <cellWatch r="G33153"/>
    <cellWatch r="G33154"/>
    <cellWatch r="G33155"/>
    <cellWatch r="G33156"/>
    <cellWatch r="G33157"/>
    <cellWatch r="G33158"/>
    <cellWatch r="G33159"/>
    <cellWatch r="G33160"/>
    <cellWatch r="G33161"/>
    <cellWatch r="G33162"/>
    <cellWatch r="G33163"/>
    <cellWatch r="G33164"/>
    <cellWatch r="G33165"/>
    <cellWatch r="G33166"/>
    <cellWatch r="G33167"/>
    <cellWatch r="G33168"/>
    <cellWatch r="G33169"/>
    <cellWatch r="G33170"/>
    <cellWatch r="G33171"/>
    <cellWatch r="G33172"/>
    <cellWatch r="G33173"/>
    <cellWatch r="G33174"/>
    <cellWatch r="G33175"/>
    <cellWatch r="G33176"/>
    <cellWatch r="G33177"/>
    <cellWatch r="G33178"/>
    <cellWatch r="G33179"/>
    <cellWatch r="G33180"/>
    <cellWatch r="G33181"/>
    <cellWatch r="G33182"/>
    <cellWatch r="G33183"/>
    <cellWatch r="G33184"/>
    <cellWatch r="G33185"/>
    <cellWatch r="G33186"/>
    <cellWatch r="G33187"/>
    <cellWatch r="G33188"/>
    <cellWatch r="G33189"/>
    <cellWatch r="G33190"/>
    <cellWatch r="G33191"/>
    <cellWatch r="G33192"/>
    <cellWatch r="G33193"/>
    <cellWatch r="G33194"/>
    <cellWatch r="G33195"/>
    <cellWatch r="G33196"/>
    <cellWatch r="G33197"/>
    <cellWatch r="G33198"/>
    <cellWatch r="G33199"/>
    <cellWatch r="G33200"/>
    <cellWatch r="G33201"/>
    <cellWatch r="G33202"/>
    <cellWatch r="G33203"/>
    <cellWatch r="G33204"/>
    <cellWatch r="G33205"/>
    <cellWatch r="G33206"/>
    <cellWatch r="G33207"/>
    <cellWatch r="G33208"/>
    <cellWatch r="G33209"/>
    <cellWatch r="G33210"/>
    <cellWatch r="G33211"/>
    <cellWatch r="G33212"/>
    <cellWatch r="G33213"/>
    <cellWatch r="G33214"/>
    <cellWatch r="G33215"/>
    <cellWatch r="G33216"/>
    <cellWatch r="G33217"/>
    <cellWatch r="G33218"/>
    <cellWatch r="G33219"/>
    <cellWatch r="G33220"/>
    <cellWatch r="G33221"/>
    <cellWatch r="G33222"/>
    <cellWatch r="G33223"/>
    <cellWatch r="G33224"/>
    <cellWatch r="G33225"/>
    <cellWatch r="G33226"/>
    <cellWatch r="G33227"/>
    <cellWatch r="G33228"/>
    <cellWatch r="G33229"/>
    <cellWatch r="G33230"/>
    <cellWatch r="G33231"/>
    <cellWatch r="G33232"/>
    <cellWatch r="G33233"/>
    <cellWatch r="G33234"/>
    <cellWatch r="G33235"/>
    <cellWatch r="G33236"/>
    <cellWatch r="G33237"/>
    <cellWatch r="G33238"/>
    <cellWatch r="G33239"/>
    <cellWatch r="G33240"/>
    <cellWatch r="G33241"/>
    <cellWatch r="G33242"/>
    <cellWatch r="G33243"/>
    <cellWatch r="G33244"/>
    <cellWatch r="G33245"/>
    <cellWatch r="G33246"/>
    <cellWatch r="G33247"/>
    <cellWatch r="G33248"/>
    <cellWatch r="G33249"/>
    <cellWatch r="G33250"/>
    <cellWatch r="G33251"/>
    <cellWatch r="G33252"/>
    <cellWatch r="G33253"/>
    <cellWatch r="G33254"/>
    <cellWatch r="G33255"/>
    <cellWatch r="G33256"/>
    <cellWatch r="G33257"/>
    <cellWatch r="G33258"/>
    <cellWatch r="G33259"/>
    <cellWatch r="G33260"/>
    <cellWatch r="G33261"/>
    <cellWatch r="G33262"/>
    <cellWatch r="G33263"/>
    <cellWatch r="G33264"/>
    <cellWatch r="G33265"/>
    <cellWatch r="G33266"/>
    <cellWatch r="G33267"/>
    <cellWatch r="G33268"/>
    <cellWatch r="G33269"/>
    <cellWatch r="G33270"/>
    <cellWatch r="G33271"/>
    <cellWatch r="G33272"/>
    <cellWatch r="G33273"/>
    <cellWatch r="G33274"/>
    <cellWatch r="G33275"/>
    <cellWatch r="G33276"/>
    <cellWatch r="G33277"/>
    <cellWatch r="G33278"/>
    <cellWatch r="G33279"/>
    <cellWatch r="G33280"/>
    <cellWatch r="G33281"/>
    <cellWatch r="G33282"/>
    <cellWatch r="G33283"/>
    <cellWatch r="G33284"/>
    <cellWatch r="G33285"/>
    <cellWatch r="G33286"/>
    <cellWatch r="G33287"/>
    <cellWatch r="G33288"/>
    <cellWatch r="G33289"/>
    <cellWatch r="G33290"/>
    <cellWatch r="G33291"/>
    <cellWatch r="G33292"/>
    <cellWatch r="G33293"/>
    <cellWatch r="G33294"/>
    <cellWatch r="G33295"/>
    <cellWatch r="G33296"/>
    <cellWatch r="G33297"/>
    <cellWatch r="G33298"/>
    <cellWatch r="G33299"/>
    <cellWatch r="G33300"/>
    <cellWatch r="G33301"/>
    <cellWatch r="G33302"/>
    <cellWatch r="G33303"/>
    <cellWatch r="G33304"/>
    <cellWatch r="G33305"/>
    <cellWatch r="G33306"/>
    <cellWatch r="G33307"/>
    <cellWatch r="G33308"/>
    <cellWatch r="G33309"/>
    <cellWatch r="G33310"/>
    <cellWatch r="G33311"/>
    <cellWatch r="G33312"/>
    <cellWatch r="G33313"/>
    <cellWatch r="G33314"/>
    <cellWatch r="G33315"/>
    <cellWatch r="G33316"/>
    <cellWatch r="G33317"/>
    <cellWatch r="G33318"/>
    <cellWatch r="G33319"/>
    <cellWatch r="G33320"/>
    <cellWatch r="G33321"/>
    <cellWatch r="G33322"/>
    <cellWatch r="G33323"/>
    <cellWatch r="G33324"/>
    <cellWatch r="G33325"/>
    <cellWatch r="G33326"/>
    <cellWatch r="G33327"/>
    <cellWatch r="G33328"/>
    <cellWatch r="G33329"/>
    <cellWatch r="G33330"/>
    <cellWatch r="G33331"/>
    <cellWatch r="G33332"/>
    <cellWatch r="G33333"/>
    <cellWatch r="G33334"/>
    <cellWatch r="G33335"/>
    <cellWatch r="G33336"/>
    <cellWatch r="G33337"/>
    <cellWatch r="G33338"/>
    <cellWatch r="G33339"/>
    <cellWatch r="G33340"/>
    <cellWatch r="G33341"/>
    <cellWatch r="G33342"/>
    <cellWatch r="G33343"/>
    <cellWatch r="G33344"/>
    <cellWatch r="G33345"/>
    <cellWatch r="G33346"/>
    <cellWatch r="G33347"/>
    <cellWatch r="G33348"/>
    <cellWatch r="G33349"/>
    <cellWatch r="G33350"/>
    <cellWatch r="G33351"/>
    <cellWatch r="G33352"/>
    <cellWatch r="G33353"/>
    <cellWatch r="G33354"/>
    <cellWatch r="G33355"/>
    <cellWatch r="G33356"/>
    <cellWatch r="G33357"/>
    <cellWatch r="G33358"/>
    <cellWatch r="G33359"/>
    <cellWatch r="G33360"/>
    <cellWatch r="G33361"/>
    <cellWatch r="G33362"/>
    <cellWatch r="G33363"/>
    <cellWatch r="G33364"/>
    <cellWatch r="G33365"/>
    <cellWatch r="G33366"/>
    <cellWatch r="G33367"/>
    <cellWatch r="G33368"/>
    <cellWatch r="G33369"/>
    <cellWatch r="G33370"/>
    <cellWatch r="G33371"/>
    <cellWatch r="G33372"/>
    <cellWatch r="G33373"/>
    <cellWatch r="G33374"/>
    <cellWatch r="G33375"/>
    <cellWatch r="G33376"/>
    <cellWatch r="G33377"/>
    <cellWatch r="G33378"/>
    <cellWatch r="G33379"/>
    <cellWatch r="G33380"/>
    <cellWatch r="G33381"/>
    <cellWatch r="G33382"/>
    <cellWatch r="G33383"/>
    <cellWatch r="G33384"/>
    <cellWatch r="G33385"/>
    <cellWatch r="G33386"/>
    <cellWatch r="G33387"/>
    <cellWatch r="G33388"/>
    <cellWatch r="G33389"/>
    <cellWatch r="G33390"/>
    <cellWatch r="G33391"/>
    <cellWatch r="G33392"/>
    <cellWatch r="G33393"/>
    <cellWatch r="G33394"/>
    <cellWatch r="G33395"/>
    <cellWatch r="G33396"/>
    <cellWatch r="G33397"/>
    <cellWatch r="G33398"/>
    <cellWatch r="G33399"/>
    <cellWatch r="G33400"/>
    <cellWatch r="G33401"/>
    <cellWatch r="G33402"/>
    <cellWatch r="G33403"/>
    <cellWatch r="G33404"/>
    <cellWatch r="G33405"/>
    <cellWatch r="G33406"/>
    <cellWatch r="G33407"/>
    <cellWatch r="G33408"/>
    <cellWatch r="G33409"/>
    <cellWatch r="G33410"/>
    <cellWatch r="G33411"/>
    <cellWatch r="G33412"/>
    <cellWatch r="G33413"/>
    <cellWatch r="G33414"/>
    <cellWatch r="G33415"/>
    <cellWatch r="G33416"/>
    <cellWatch r="G33417"/>
    <cellWatch r="G33418"/>
    <cellWatch r="G33419"/>
    <cellWatch r="G33420"/>
    <cellWatch r="G33421"/>
    <cellWatch r="G33422"/>
    <cellWatch r="G33423"/>
    <cellWatch r="G33424"/>
    <cellWatch r="G33425"/>
    <cellWatch r="G33426"/>
    <cellWatch r="G33427"/>
    <cellWatch r="G33428"/>
    <cellWatch r="G33429"/>
    <cellWatch r="G33430"/>
    <cellWatch r="G33431"/>
    <cellWatch r="G33432"/>
    <cellWatch r="G33433"/>
    <cellWatch r="G33434"/>
    <cellWatch r="G33435"/>
    <cellWatch r="G33436"/>
    <cellWatch r="G33437"/>
    <cellWatch r="G33438"/>
    <cellWatch r="G33439"/>
    <cellWatch r="G33440"/>
    <cellWatch r="G33441"/>
    <cellWatch r="G33442"/>
    <cellWatch r="G33443"/>
    <cellWatch r="G33444"/>
    <cellWatch r="G33445"/>
    <cellWatch r="G33446"/>
    <cellWatch r="G33447"/>
    <cellWatch r="G33448"/>
    <cellWatch r="G33449"/>
    <cellWatch r="G33450"/>
    <cellWatch r="G33451"/>
    <cellWatch r="G33452"/>
    <cellWatch r="G33453"/>
    <cellWatch r="G33454"/>
    <cellWatch r="G33455"/>
    <cellWatch r="G33456"/>
    <cellWatch r="G33457"/>
    <cellWatch r="G33458"/>
    <cellWatch r="G33459"/>
    <cellWatch r="G33460"/>
    <cellWatch r="G33461"/>
    <cellWatch r="G33462"/>
    <cellWatch r="G33463"/>
    <cellWatch r="G33464"/>
    <cellWatch r="G33465"/>
    <cellWatch r="G33466"/>
    <cellWatch r="G33467"/>
    <cellWatch r="G33468"/>
    <cellWatch r="G33469"/>
    <cellWatch r="G33470"/>
    <cellWatch r="G33471"/>
    <cellWatch r="G33472"/>
    <cellWatch r="G33473"/>
    <cellWatch r="G33474"/>
    <cellWatch r="G33475"/>
    <cellWatch r="G33476"/>
    <cellWatch r="G33477"/>
    <cellWatch r="G33478"/>
    <cellWatch r="G33479"/>
    <cellWatch r="G33480"/>
    <cellWatch r="G33481"/>
    <cellWatch r="G33482"/>
    <cellWatch r="G33483"/>
    <cellWatch r="G33484"/>
    <cellWatch r="G33485"/>
    <cellWatch r="G33486"/>
    <cellWatch r="G33487"/>
    <cellWatch r="G33488"/>
    <cellWatch r="G33489"/>
    <cellWatch r="G33490"/>
    <cellWatch r="G33491"/>
    <cellWatch r="G33492"/>
    <cellWatch r="G33493"/>
    <cellWatch r="G33494"/>
    <cellWatch r="G33495"/>
    <cellWatch r="G33496"/>
    <cellWatch r="G33497"/>
    <cellWatch r="G33498"/>
    <cellWatch r="G33499"/>
    <cellWatch r="G33500"/>
    <cellWatch r="G33501"/>
    <cellWatch r="G33502"/>
    <cellWatch r="G33503"/>
    <cellWatch r="G33504"/>
    <cellWatch r="G33505"/>
    <cellWatch r="G33506"/>
    <cellWatch r="G33507"/>
    <cellWatch r="G33508"/>
    <cellWatch r="G33509"/>
    <cellWatch r="G33510"/>
    <cellWatch r="G33511"/>
    <cellWatch r="G33512"/>
    <cellWatch r="G33513"/>
    <cellWatch r="G33514"/>
    <cellWatch r="G33515"/>
    <cellWatch r="G33516"/>
    <cellWatch r="G33517"/>
    <cellWatch r="G33518"/>
    <cellWatch r="G33519"/>
    <cellWatch r="G33520"/>
    <cellWatch r="G33521"/>
    <cellWatch r="G33522"/>
    <cellWatch r="G33523"/>
    <cellWatch r="G33524"/>
    <cellWatch r="G33525"/>
    <cellWatch r="G33526"/>
    <cellWatch r="G33527"/>
    <cellWatch r="G33528"/>
    <cellWatch r="G33529"/>
    <cellWatch r="G33530"/>
    <cellWatch r="G33531"/>
    <cellWatch r="G33532"/>
    <cellWatch r="G33533"/>
    <cellWatch r="G33534"/>
    <cellWatch r="G33535"/>
    <cellWatch r="G33536"/>
    <cellWatch r="G33537"/>
    <cellWatch r="G33538"/>
    <cellWatch r="G33539"/>
    <cellWatch r="G33540"/>
    <cellWatch r="G33541"/>
    <cellWatch r="G33542"/>
    <cellWatch r="G33543"/>
    <cellWatch r="G33544"/>
    <cellWatch r="G33545"/>
    <cellWatch r="G33546"/>
    <cellWatch r="G33547"/>
    <cellWatch r="G33548"/>
    <cellWatch r="G33549"/>
    <cellWatch r="G33550"/>
    <cellWatch r="G33551"/>
    <cellWatch r="G33552"/>
    <cellWatch r="G33553"/>
    <cellWatch r="G33554"/>
    <cellWatch r="G33555"/>
    <cellWatch r="G33556"/>
    <cellWatch r="G33557"/>
    <cellWatch r="G33558"/>
    <cellWatch r="G33559"/>
    <cellWatch r="G33560"/>
    <cellWatch r="G33561"/>
    <cellWatch r="G33562"/>
    <cellWatch r="G33563"/>
    <cellWatch r="G33564"/>
    <cellWatch r="G33565"/>
    <cellWatch r="G33566"/>
    <cellWatch r="G33567"/>
    <cellWatch r="G33568"/>
    <cellWatch r="G33569"/>
    <cellWatch r="G33570"/>
    <cellWatch r="G33571"/>
    <cellWatch r="G33572"/>
    <cellWatch r="G33573"/>
    <cellWatch r="G33574"/>
    <cellWatch r="G33575"/>
    <cellWatch r="G33576"/>
    <cellWatch r="G33577"/>
    <cellWatch r="G33578"/>
    <cellWatch r="G33579"/>
    <cellWatch r="G33580"/>
    <cellWatch r="G33581"/>
    <cellWatch r="G33582"/>
    <cellWatch r="G33583"/>
    <cellWatch r="G33584"/>
    <cellWatch r="G33585"/>
    <cellWatch r="G33586"/>
    <cellWatch r="G33587"/>
    <cellWatch r="G33588"/>
    <cellWatch r="G33589"/>
    <cellWatch r="G33590"/>
    <cellWatch r="G33591"/>
    <cellWatch r="G33592"/>
    <cellWatch r="G33593"/>
    <cellWatch r="G33594"/>
    <cellWatch r="G33595"/>
    <cellWatch r="G33596"/>
    <cellWatch r="G33597"/>
    <cellWatch r="G33598"/>
    <cellWatch r="G33599"/>
    <cellWatch r="G33600"/>
    <cellWatch r="G33601"/>
    <cellWatch r="G33602"/>
    <cellWatch r="G33603"/>
    <cellWatch r="G33604"/>
    <cellWatch r="G33605"/>
    <cellWatch r="G33606"/>
    <cellWatch r="G33607"/>
    <cellWatch r="G33608"/>
    <cellWatch r="G33609"/>
    <cellWatch r="G33610"/>
    <cellWatch r="G33611"/>
    <cellWatch r="G33612"/>
    <cellWatch r="G33613"/>
    <cellWatch r="G33614"/>
    <cellWatch r="G33615"/>
    <cellWatch r="G33616"/>
    <cellWatch r="G33617"/>
    <cellWatch r="G33618"/>
    <cellWatch r="G33619"/>
    <cellWatch r="G33620"/>
    <cellWatch r="G33621"/>
    <cellWatch r="G33622"/>
    <cellWatch r="G33623"/>
    <cellWatch r="G33624"/>
    <cellWatch r="G33625"/>
    <cellWatch r="G33626"/>
    <cellWatch r="G33627"/>
    <cellWatch r="G33628"/>
    <cellWatch r="G33629"/>
    <cellWatch r="G33630"/>
    <cellWatch r="G33631"/>
    <cellWatch r="G33632"/>
    <cellWatch r="G33633"/>
    <cellWatch r="G33634"/>
    <cellWatch r="G33635"/>
    <cellWatch r="G33636"/>
    <cellWatch r="G33637"/>
    <cellWatch r="G33638"/>
    <cellWatch r="G33639"/>
    <cellWatch r="G33640"/>
    <cellWatch r="G33641"/>
    <cellWatch r="G33642"/>
    <cellWatch r="G33643"/>
    <cellWatch r="G33644"/>
    <cellWatch r="G33645"/>
    <cellWatch r="G33646"/>
    <cellWatch r="G33647"/>
    <cellWatch r="G33648"/>
    <cellWatch r="G33649"/>
    <cellWatch r="G33650"/>
    <cellWatch r="G33651"/>
    <cellWatch r="G33652"/>
    <cellWatch r="G33653"/>
    <cellWatch r="G33654"/>
    <cellWatch r="G33655"/>
    <cellWatch r="G33656"/>
    <cellWatch r="G33657"/>
    <cellWatch r="G33658"/>
    <cellWatch r="G33659"/>
    <cellWatch r="G33660"/>
    <cellWatch r="G33661"/>
    <cellWatch r="G33662"/>
    <cellWatch r="G33663"/>
    <cellWatch r="G33664"/>
    <cellWatch r="G33665"/>
    <cellWatch r="G33666"/>
    <cellWatch r="G33667"/>
    <cellWatch r="G33668"/>
    <cellWatch r="G33669"/>
    <cellWatch r="G33670"/>
    <cellWatch r="G33671"/>
    <cellWatch r="G33672"/>
    <cellWatch r="G33673"/>
    <cellWatch r="G33674"/>
    <cellWatch r="G33675"/>
    <cellWatch r="G33676"/>
    <cellWatch r="G33677"/>
    <cellWatch r="G33678"/>
    <cellWatch r="G33679"/>
    <cellWatch r="G33680"/>
    <cellWatch r="G33681"/>
    <cellWatch r="G33682"/>
    <cellWatch r="G33683"/>
    <cellWatch r="G33684"/>
    <cellWatch r="G33685"/>
    <cellWatch r="G33686"/>
    <cellWatch r="G33687"/>
    <cellWatch r="G33688"/>
    <cellWatch r="G33689"/>
    <cellWatch r="G33690"/>
    <cellWatch r="G33691"/>
    <cellWatch r="G33692"/>
    <cellWatch r="G33693"/>
    <cellWatch r="G33694"/>
    <cellWatch r="G33695"/>
    <cellWatch r="G33696"/>
    <cellWatch r="G33697"/>
    <cellWatch r="G33698"/>
    <cellWatch r="G33699"/>
    <cellWatch r="G33700"/>
    <cellWatch r="G33701"/>
    <cellWatch r="G33702"/>
    <cellWatch r="G33703"/>
    <cellWatch r="G33704"/>
    <cellWatch r="G33705"/>
    <cellWatch r="G33706"/>
    <cellWatch r="G33707"/>
    <cellWatch r="G33708"/>
    <cellWatch r="G33709"/>
    <cellWatch r="G33710"/>
    <cellWatch r="G33711"/>
    <cellWatch r="G33712"/>
    <cellWatch r="G33713"/>
    <cellWatch r="G33714"/>
    <cellWatch r="G33715"/>
    <cellWatch r="G33716"/>
    <cellWatch r="G33717"/>
    <cellWatch r="G33718"/>
    <cellWatch r="G33719"/>
    <cellWatch r="G33720"/>
    <cellWatch r="G33721"/>
    <cellWatch r="G33722"/>
    <cellWatch r="G33723"/>
    <cellWatch r="G33724"/>
    <cellWatch r="G33725"/>
    <cellWatch r="G33726"/>
    <cellWatch r="G33727"/>
    <cellWatch r="G33728"/>
    <cellWatch r="G33729"/>
    <cellWatch r="G33730"/>
    <cellWatch r="G33731"/>
    <cellWatch r="G33732"/>
    <cellWatch r="G33733"/>
    <cellWatch r="G33734"/>
    <cellWatch r="G33735"/>
    <cellWatch r="G33736"/>
    <cellWatch r="G33737"/>
    <cellWatch r="G33738"/>
    <cellWatch r="G33739"/>
    <cellWatch r="G33740"/>
    <cellWatch r="G33741"/>
    <cellWatch r="G33742"/>
    <cellWatch r="G33743"/>
    <cellWatch r="G33744"/>
    <cellWatch r="G33745"/>
    <cellWatch r="G33746"/>
    <cellWatch r="G33747"/>
    <cellWatch r="G33748"/>
    <cellWatch r="G33749"/>
    <cellWatch r="G33750"/>
    <cellWatch r="G33751"/>
    <cellWatch r="G33752"/>
    <cellWatch r="G33753"/>
    <cellWatch r="G33754"/>
    <cellWatch r="G33755"/>
    <cellWatch r="G33756"/>
    <cellWatch r="G33757"/>
    <cellWatch r="G33758"/>
    <cellWatch r="G33759"/>
    <cellWatch r="G33760"/>
    <cellWatch r="G33761"/>
    <cellWatch r="G33762"/>
    <cellWatch r="G33763"/>
    <cellWatch r="G33764"/>
    <cellWatch r="G33765"/>
    <cellWatch r="G33766"/>
    <cellWatch r="G33767"/>
    <cellWatch r="G33768"/>
    <cellWatch r="G33769"/>
    <cellWatch r="G33770"/>
    <cellWatch r="G33771"/>
    <cellWatch r="G33772"/>
    <cellWatch r="G33773"/>
    <cellWatch r="G33774"/>
    <cellWatch r="G33775"/>
    <cellWatch r="G33776"/>
    <cellWatch r="G33777"/>
    <cellWatch r="G33778"/>
    <cellWatch r="G33779"/>
    <cellWatch r="G33780"/>
    <cellWatch r="G33781"/>
    <cellWatch r="G33782"/>
    <cellWatch r="G33783"/>
    <cellWatch r="G33784"/>
    <cellWatch r="G33785"/>
    <cellWatch r="G33786"/>
    <cellWatch r="G33787"/>
    <cellWatch r="G33788"/>
    <cellWatch r="G33789"/>
    <cellWatch r="G33790"/>
    <cellWatch r="G33791"/>
    <cellWatch r="G33792"/>
    <cellWatch r="G33793"/>
    <cellWatch r="G33794"/>
    <cellWatch r="G33795"/>
    <cellWatch r="G33796"/>
    <cellWatch r="G33797"/>
    <cellWatch r="G33798"/>
    <cellWatch r="G33799"/>
    <cellWatch r="G33800"/>
    <cellWatch r="G33801"/>
    <cellWatch r="G33802"/>
    <cellWatch r="G33803"/>
    <cellWatch r="G33804"/>
    <cellWatch r="G33805"/>
    <cellWatch r="G33806"/>
    <cellWatch r="G33807"/>
    <cellWatch r="G33808"/>
    <cellWatch r="G33809"/>
    <cellWatch r="G33810"/>
    <cellWatch r="G33811"/>
    <cellWatch r="G33812"/>
    <cellWatch r="G33813"/>
    <cellWatch r="G33814"/>
    <cellWatch r="G33815"/>
    <cellWatch r="G33816"/>
    <cellWatch r="G33817"/>
    <cellWatch r="G33818"/>
    <cellWatch r="G33819"/>
    <cellWatch r="G33820"/>
    <cellWatch r="G33821"/>
    <cellWatch r="G33822"/>
    <cellWatch r="G33823"/>
    <cellWatch r="G33824"/>
    <cellWatch r="G33825"/>
    <cellWatch r="G33826"/>
    <cellWatch r="G33827"/>
    <cellWatch r="G33828"/>
    <cellWatch r="G33829"/>
    <cellWatch r="G33830"/>
    <cellWatch r="G33831"/>
    <cellWatch r="G33832"/>
    <cellWatch r="G33833"/>
    <cellWatch r="G33834"/>
    <cellWatch r="G33835"/>
    <cellWatch r="G33836"/>
    <cellWatch r="G33837"/>
    <cellWatch r="G33838"/>
    <cellWatch r="G33839"/>
    <cellWatch r="G33840"/>
    <cellWatch r="G33841"/>
    <cellWatch r="G33842"/>
    <cellWatch r="G33843"/>
    <cellWatch r="G33844"/>
    <cellWatch r="G33845"/>
    <cellWatch r="G33846"/>
    <cellWatch r="G33847"/>
    <cellWatch r="G33848"/>
    <cellWatch r="G33849"/>
    <cellWatch r="G33850"/>
    <cellWatch r="G33851"/>
    <cellWatch r="G33852"/>
    <cellWatch r="G33853"/>
    <cellWatch r="G33854"/>
    <cellWatch r="G33855"/>
    <cellWatch r="G33856"/>
    <cellWatch r="G33857"/>
    <cellWatch r="G33858"/>
    <cellWatch r="G33859"/>
    <cellWatch r="G33860"/>
    <cellWatch r="G33861"/>
    <cellWatch r="G33862"/>
    <cellWatch r="G33863"/>
    <cellWatch r="G33864"/>
    <cellWatch r="G33865"/>
    <cellWatch r="G33866"/>
    <cellWatch r="G33867"/>
    <cellWatch r="G33868"/>
    <cellWatch r="G33869"/>
    <cellWatch r="G33870"/>
    <cellWatch r="G33871"/>
    <cellWatch r="G33872"/>
    <cellWatch r="G33873"/>
    <cellWatch r="G33874"/>
    <cellWatch r="G33875"/>
    <cellWatch r="G33876"/>
    <cellWatch r="G33877"/>
    <cellWatch r="G33878"/>
    <cellWatch r="G33879"/>
    <cellWatch r="G33880"/>
    <cellWatch r="G33881"/>
    <cellWatch r="G33882"/>
    <cellWatch r="G33883"/>
    <cellWatch r="G33884"/>
    <cellWatch r="G33885"/>
    <cellWatch r="G33886"/>
    <cellWatch r="G33887"/>
    <cellWatch r="G33888"/>
    <cellWatch r="G33889"/>
    <cellWatch r="G33890"/>
    <cellWatch r="G33891"/>
    <cellWatch r="G33892"/>
    <cellWatch r="G33893"/>
    <cellWatch r="G33894"/>
    <cellWatch r="G33895"/>
    <cellWatch r="G33896"/>
    <cellWatch r="G33897"/>
    <cellWatch r="G33898"/>
    <cellWatch r="G33899"/>
    <cellWatch r="G33900"/>
    <cellWatch r="G33901"/>
    <cellWatch r="G33902"/>
    <cellWatch r="G33903"/>
    <cellWatch r="G33904"/>
    <cellWatch r="G33905"/>
    <cellWatch r="G33906"/>
    <cellWatch r="G33907"/>
    <cellWatch r="G33908"/>
    <cellWatch r="G33909"/>
    <cellWatch r="G33910"/>
    <cellWatch r="G33911"/>
    <cellWatch r="G33912"/>
    <cellWatch r="G33913"/>
    <cellWatch r="G33914"/>
    <cellWatch r="G33915"/>
    <cellWatch r="G33916"/>
    <cellWatch r="G33917"/>
    <cellWatch r="G33918"/>
    <cellWatch r="G33919"/>
    <cellWatch r="G33920"/>
    <cellWatch r="G33921"/>
    <cellWatch r="G33922"/>
    <cellWatch r="G33923"/>
    <cellWatch r="G33924"/>
    <cellWatch r="G33925"/>
    <cellWatch r="G33926"/>
    <cellWatch r="G33927"/>
    <cellWatch r="G33928"/>
    <cellWatch r="G33929"/>
    <cellWatch r="G33930"/>
    <cellWatch r="G33931"/>
    <cellWatch r="G33932"/>
    <cellWatch r="G33933"/>
    <cellWatch r="G33934"/>
    <cellWatch r="G33935"/>
    <cellWatch r="G33936"/>
    <cellWatch r="G33937"/>
    <cellWatch r="G33938"/>
    <cellWatch r="G33939"/>
    <cellWatch r="G33940"/>
    <cellWatch r="G33941"/>
    <cellWatch r="G33942"/>
    <cellWatch r="G33943"/>
    <cellWatch r="G33944"/>
    <cellWatch r="G33945"/>
    <cellWatch r="G33946"/>
    <cellWatch r="G33947"/>
    <cellWatch r="G33948"/>
    <cellWatch r="G33949"/>
    <cellWatch r="G33950"/>
    <cellWatch r="G33951"/>
    <cellWatch r="G33952"/>
    <cellWatch r="G33953"/>
    <cellWatch r="G33954"/>
    <cellWatch r="G33955"/>
    <cellWatch r="G33956"/>
    <cellWatch r="G33957"/>
    <cellWatch r="G33958"/>
    <cellWatch r="G33959"/>
    <cellWatch r="G33960"/>
    <cellWatch r="G33961"/>
    <cellWatch r="G33962"/>
    <cellWatch r="G33963"/>
    <cellWatch r="G33964"/>
    <cellWatch r="G33965"/>
    <cellWatch r="G33966"/>
    <cellWatch r="G33967"/>
    <cellWatch r="G33968"/>
    <cellWatch r="G33969"/>
    <cellWatch r="G33970"/>
    <cellWatch r="G33971"/>
    <cellWatch r="G33972"/>
    <cellWatch r="G33973"/>
    <cellWatch r="G33974"/>
    <cellWatch r="G33975"/>
    <cellWatch r="G33976"/>
    <cellWatch r="G33977"/>
    <cellWatch r="G33978"/>
    <cellWatch r="G33979"/>
    <cellWatch r="G33980"/>
    <cellWatch r="G33981"/>
    <cellWatch r="G33982"/>
    <cellWatch r="G33983"/>
    <cellWatch r="G33984"/>
    <cellWatch r="G33985"/>
    <cellWatch r="G33986"/>
    <cellWatch r="G33987"/>
    <cellWatch r="G33988"/>
    <cellWatch r="G33989"/>
    <cellWatch r="G33990"/>
    <cellWatch r="G33991"/>
    <cellWatch r="G33992"/>
    <cellWatch r="G33993"/>
    <cellWatch r="G33994"/>
    <cellWatch r="G33995"/>
    <cellWatch r="G33996"/>
    <cellWatch r="G33997"/>
    <cellWatch r="G33998"/>
    <cellWatch r="G33999"/>
    <cellWatch r="G34000"/>
    <cellWatch r="G34001"/>
    <cellWatch r="G34002"/>
    <cellWatch r="G34003"/>
    <cellWatch r="G34004"/>
    <cellWatch r="G34005"/>
    <cellWatch r="G34006"/>
    <cellWatch r="G34007"/>
    <cellWatch r="G34008"/>
    <cellWatch r="G34009"/>
    <cellWatch r="G34010"/>
    <cellWatch r="G34011"/>
    <cellWatch r="G34012"/>
    <cellWatch r="G34013"/>
    <cellWatch r="G34014"/>
    <cellWatch r="G34015"/>
    <cellWatch r="G34016"/>
    <cellWatch r="G34017"/>
    <cellWatch r="G34018"/>
    <cellWatch r="G34019"/>
    <cellWatch r="G34020"/>
    <cellWatch r="G34021"/>
    <cellWatch r="G34022"/>
    <cellWatch r="G34023"/>
    <cellWatch r="G34024"/>
    <cellWatch r="G34025"/>
    <cellWatch r="G34026"/>
    <cellWatch r="G34027"/>
    <cellWatch r="G34028"/>
    <cellWatch r="G34029"/>
    <cellWatch r="G34030"/>
    <cellWatch r="G34031"/>
    <cellWatch r="G34032"/>
    <cellWatch r="G34033"/>
    <cellWatch r="G34034"/>
    <cellWatch r="G34035"/>
    <cellWatch r="G34036"/>
    <cellWatch r="G34037"/>
    <cellWatch r="G34038"/>
    <cellWatch r="G34039"/>
    <cellWatch r="G34040"/>
    <cellWatch r="G34041"/>
    <cellWatch r="G34042"/>
    <cellWatch r="G34043"/>
    <cellWatch r="G34044"/>
    <cellWatch r="G34045"/>
    <cellWatch r="G34046"/>
    <cellWatch r="G34047"/>
    <cellWatch r="G34048"/>
    <cellWatch r="G34049"/>
    <cellWatch r="G34050"/>
    <cellWatch r="G34051"/>
    <cellWatch r="G34052"/>
    <cellWatch r="G34053"/>
    <cellWatch r="G34054"/>
    <cellWatch r="G34055"/>
    <cellWatch r="G34056"/>
    <cellWatch r="G34057"/>
    <cellWatch r="G34058"/>
    <cellWatch r="G34059"/>
    <cellWatch r="G34060"/>
    <cellWatch r="G34061"/>
    <cellWatch r="G34062"/>
    <cellWatch r="G34063"/>
    <cellWatch r="G34064"/>
    <cellWatch r="G34065"/>
    <cellWatch r="G34066"/>
    <cellWatch r="G34067"/>
    <cellWatch r="G34068"/>
    <cellWatch r="G34069"/>
    <cellWatch r="G34070"/>
    <cellWatch r="G34071"/>
    <cellWatch r="G34072"/>
    <cellWatch r="G34073"/>
    <cellWatch r="G34074"/>
    <cellWatch r="G34075"/>
    <cellWatch r="G34076"/>
    <cellWatch r="G34077"/>
    <cellWatch r="G34078"/>
    <cellWatch r="G34079"/>
    <cellWatch r="G34080"/>
    <cellWatch r="G34081"/>
    <cellWatch r="G34082"/>
    <cellWatch r="G34083"/>
    <cellWatch r="G34084"/>
    <cellWatch r="G34085"/>
    <cellWatch r="G34086"/>
    <cellWatch r="G34087"/>
    <cellWatch r="G34088"/>
    <cellWatch r="G34089"/>
    <cellWatch r="G34090"/>
    <cellWatch r="G34091"/>
    <cellWatch r="G34092"/>
    <cellWatch r="G34093"/>
    <cellWatch r="G34094"/>
    <cellWatch r="G34095"/>
    <cellWatch r="G34096"/>
    <cellWatch r="G34097"/>
    <cellWatch r="G34098"/>
    <cellWatch r="G34099"/>
    <cellWatch r="G34100"/>
    <cellWatch r="G34101"/>
    <cellWatch r="G34102"/>
    <cellWatch r="G34103"/>
    <cellWatch r="G34104"/>
    <cellWatch r="G34105"/>
    <cellWatch r="G34106"/>
    <cellWatch r="G34107"/>
    <cellWatch r="G34108"/>
    <cellWatch r="G34109"/>
    <cellWatch r="G34110"/>
    <cellWatch r="G34111"/>
    <cellWatch r="G34112"/>
    <cellWatch r="G34113"/>
    <cellWatch r="G34114"/>
    <cellWatch r="G34115"/>
    <cellWatch r="G34116"/>
    <cellWatch r="G34117"/>
    <cellWatch r="G34118"/>
    <cellWatch r="G34119"/>
    <cellWatch r="G34120"/>
    <cellWatch r="G34121"/>
    <cellWatch r="G34122"/>
    <cellWatch r="G34123"/>
    <cellWatch r="G34124"/>
    <cellWatch r="G34125"/>
    <cellWatch r="G34126"/>
    <cellWatch r="G34127"/>
    <cellWatch r="G34128"/>
    <cellWatch r="G34129"/>
    <cellWatch r="G34130"/>
    <cellWatch r="G34131"/>
    <cellWatch r="G34132"/>
    <cellWatch r="G34133"/>
    <cellWatch r="G34134"/>
    <cellWatch r="G34135"/>
    <cellWatch r="G34136"/>
    <cellWatch r="G34137"/>
    <cellWatch r="G34138"/>
    <cellWatch r="G34139"/>
    <cellWatch r="G34140"/>
    <cellWatch r="G34141"/>
    <cellWatch r="G34142"/>
    <cellWatch r="G34143"/>
    <cellWatch r="G34144"/>
    <cellWatch r="G34145"/>
    <cellWatch r="G34146"/>
    <cellWatch r="G34147"/>
    <cellWatch r="G34148"/>
    <cellWatch r="G34149"/>
    <cellWatch r="G34150"/>
    <cellWatch r="G34151"/>
    <cellWatch r="G34152"/>
    <cellWatch r="G34153"/>
    <cellWatch r="G34154"/>
    <cellWatch r="G34155"/>
    <cellWatch r="G34156"/>
    <cellWatch r="G34157"/>
    <cellWatch r="G34158"/>
    <cellWatch r="G34159"/>
    <cellWatch r="G34160"/>
    <cellWatch r="G34161"/>
    <cellWatch r="G34162"/>
    <cellWatch r="G34163"/>
    <cellWatch r="G34164"/>
    <cellWatch r="G34165"/>
    <cellWatch r="G34166"/>
    <cellWatch r="G34167"/>
    <cellWatch r="G34168"/>
    <cellWatch r="G34169"/>
    <cellWatch r="G34170"/>
    <cellWatch r="G34171"/>
    <cellWatch r="G34172"/>
    <cellWatch r="G34173"/>
    <cellWatch r="G34174"/>
    <cellWatch r="G34175"/>
    <cellWatch r="G34176"/>
    <cellWatch r="G34177"/>
    <cellWatch r="G34178"/>
    <cellWatch r="G34179"/>
    <cellWatch r="G34180"/>
    <cellWatch r="G34181"/>
    <cellWatch r="G34182"/>
    <cellWatch r="G34183"/>
    <cellWatch r="G34184"/>
    <cellWatch r="G34185"/>
    <cellWatch r="G34186"/>
    <cellWatch r="G34187"/>
    <cellWatch r="G34188"/>
    <cellWatch r="G34189"/>
    <cellWatch r="G34190"/>
    <cellWatch r="G34191"/>
    <cellWatch r="G34192"/>
    <cellWatch r="G34193"/>
    <cellWatch r="G34194"/>
    <cellWatch r="G34195"/>
    <cellWatch r="G34196"/>
    <cellWatch r="G34197"/>
    <cellWatch r="G34198"/>
    <cellWatch r="G34199"/>
    <cellWatch r="G34200"/>
    <cellWatch r="G34201"/>
    <cellWatch r="G34202"/>
    <cellWatch r="G34203"/>
    <cellWatch r="G34204"/>
    <cellWatch r="G34205"/>
    <cellWatch r="G34206"/>
    <cellWatch r="G34207"/>
    <cellWatch r="G34208"/>
    <cellWatch r="G34209"/>
    <cellWatch r="G34210"/>
    <cellWatch r="G34211"/>
    <cellWatch r="G34212"/>
    <cellWatch r="G34213"/>
    <cellWatch r="G34214"/>
    <cellWatch r="G34215"/>
    <cellWatch r="G34216"/>
    <cellWatch r="G34217"/>
    <cellWatch r="G34218"/>
    <cellWatch r="G34219"/>
    <cellWatch r="G34220"/>
    <cellWatch r="G34221"/>
    <cellWatch r="G34222"/>
    <cellWatch r="G34223"/>
    <cellWatch r="G34224"/>
    <cellWatch r="G34225"/>
    <cellWatch r="G34226"/>
    <cellWatch r="G34227"/>
    <cellWatch r="G34228"/>
    <cellWatch r="G34229"/>
    <cellWatch r="G34230"/>
    <cellWatch r="G34231"/>
    <cellWatch r="G34232"/>
    <cellWatch r="G34233"/>
    <cellWatch r="G34234"/>
    <cellWatch r="G34235"/>
    <cellWatch r="G34236"/>
    <cellWatch r="G34237"/>
    <cellWatch r="G34238"/>
    <cellWatch r="G34239"/>
    <cellWatch r="G34240"/>
    <cellWatch r="G34241"/>
    <cellWatch r="G34242"/>
    <cellWatch r="G34243"/>
    <cellWatch r="G34244"/>
    <cellWatch r="G34245"/>
    <cellWatch r="G34246"/>
    <cellWatch r="G34247"/>
    <cellWatch r="G34248"/>
    <cellWatch r="G34249"/>
    <cellWatch r="G34250"/>
    <cellWatch r="G34251"/>
    <cellWatch r="G34252"/>
    <cellWatch r="G34253"/>
    <cellWatch r="G34254"/>
    <cellWatch r="G34255"/>
    <cellWatch r="G34256"/>
    <cellWatch r="G34257"/>
    <cellWatch r="G34258"/>
    <cellWatch r="G34259"/>
    <cellWatch r="G34260"/>
    <cellWatch r="G34261"/>
    <cellWatch r="G34262"/>
    <cellWatch r="G34263"/>
    <cellWatch r="G34264"/>
    <cellWatch r="G34265"/>
    <cellWatch r="G34266"/>
    <cellWatch r="G34267"/>
    <cellWatch r="G34268"/>
    <cellWatch r="G34269"/>
    <cellWatch r="G34270"/>
    <cellWatch r="G34271"/>
    <cellWatch r="G34272"/>
    <cellWatch r="G34273"/>
    <cellWatch r="G34274"/>
    <cellWatch r="G34275"/>
    <cellWatch r="G34276"/>
    <cellWatch r="G34277"/>
    <cellWatch r="G34278"/>
    <cellWatch r="G34279"/>
    <cellWatch r="G34280"/>
    <cellWatch r="G34281"/>
    <cellWatch r="G34282"/>
    <cellWatch r="G34283"/>
    <cellWatch r="G34284"/>
    <cellWatch r="G34285"/>
    <cellWatch r="G34286"/>
    <cellWatch r="G34287"/>
    <cellWatch r="G34288"/>
    <cellWatch r="G34289"/>
    <cellWatch r="G34290"/>
    <cellWatch r="G34291"/>
    <cellWatch r="G34292"/>
    <cellWatch r="G34293"/>
    <cellWatch r="G34294"/>
    <cellWatch r="G34295"/>
    <cellWatch r="G34296"/>
    <cellWatch r="G34297"/>
    <cellWatch r="G34298"/>
    <cellWatch r="G34299"/>
    <cellWatch r="G34300"/>
    <cellWatch r="G34301"/>
    <cellWatch r="G34302"/>
    <cellWatch r="G34303"/>
    <cellWatch r="G34304"/>
    <cellWatch r="G34305"/>
    <cellWatch r="G34306"/>
    <cellWatch r="G34307"/>
    <cellWatch r="G34308"/>
    <cellWatch r="G34309"/>
    <cellWatch r="G34310"/>
    <cellWatch r="G34311"/>
    <cellWatch r="G34312"/>
    <cellWatch r="G34313"/>
    <cellWatch r="G34314"/>
    <cellWatch r="G34315"/>
    <cellWatch r="G34316"/>
    <cellWatch r="G34317"/>
    <cellWatch r="G34318"/>
    <cellWatch r="G34319"/>
    <cellWatch r="G34320"/>
    <cellWatch r="G34321"/>
    <cellWatch r="G34322"/>
    <cellWatch r="G34323"/>
    <cellWatch r="G34324"/>
    <cellWatch r="G34325"/>
    <cellWatch r="G34326"/>
    <cellWatch r="G34327"/>
    <cellWatch r="G34328"/>
    <cellWatch r="G34329"/>
    <cellWatch r="G34330"/>
    <cellWatch r="G34331"/>
    <cellWatch r="G34332"/>
    <cellWatch r="G34333"/>
    <cellWatch r="G34334"/>
    <cellWatch r="G34335"/>
    <cellWatch r="G34336"/>
    <cellWatch r="G34337"/>
    <cellWatch r="G34338"/>
    <cellWatch r="G34339"/>
    <cellWatch r="G34340"/>
    <cellWatch r="G34341"/>
    <cellWatch r="G34342"/>
    <cellWatch r="G34343"/>
    <cellWatch r="G34344"/>
    <cellWatch r="G34345"/>
    <cellWatch r="G34346"/>
    <cellWatch r="G34347"/>
    <cellWatch r="G34348"/>
    <cellWatch r="G34349"/>
    <cellWatch r="G34350"/>
    <cellWatch r="G34351"/>
    <cellWatch r="G34352"/>
    <cellWatch r="G34353"/>
    <cellWatch r="G34354"/>
    <cellWatch r="G34355"/>
    <cellWatch r="G34356"/>
    <cellWatch r="G34357"/>
    <cellWatch r="G34358"/>
    <cellWatch r="G34359"/>
    <cellWatch r="G34360"/>
    <cellWatch r="G34361"/>
    <cellWatch r="G34362"/>
    <cellWatch r="G34363"/>
    <cellWatch r="G34364"/>
    <cellWatch r="G34365"/>
    <cellWatch r="G34366"/>
    <cellWatch r="G34367"/>
    <cellWatch r="G34368"/>
    <cellWatch r="G34369"/>
    <cellWatch r="G34370"/>
    <cellWatch r="G34371"/>
    <cellWatch r="G34372"/>
    <cellWatch r="G34373"/>
    <cellWatch r="G34374"/>
    <cellWatch r="G34375"/>
    <cellWatch r="G34376"/>
    <cellWatch r="G34377"/>
    <cellWatch r="G34378"/>
    <cellWatch r="G34379"/>
    <cellWatch r="G34380"/>
    <cellWatch r="G34381"/>
    <cellWatch r="G34382"/>
    <cellWatch r="G34383"/>
    <cellWatch r="G34384"/>
    <cellWatch r="G34385"/>
    <cellWatch r="G34386"/>
    <cellWatch r="G34387"/>
    <cellWatch r="G34388"/>
    <cellWatch r="G34389"/>
    <cellWatch r="G34390"/>
    <cellWatch r="G34391"/>
    <cellWatch r="G34392"/>
    <cellWatch r="G34393"/>
    <cellWatch r="G34394"/>
    <cellWatch r="G34395"/>
    <cellWatch r="G34396"/>
    <cellWatch r="G34397"/>
    <cellWatch r="G34398"/>
    <cellWatch r="G34399"/>
    <cellWatch r="G34400"/>
    <cellWatch r="G34401"/>
    <cellWatch r="G34402"/>
    <cellWatch r="G34403"/>
    <cellWatch r="G34404"/>
    <cellWatch r="G34405"/>
    <cellWatch r="G34406"/>
    <cellWatch r="G34407"/>
    <cellWatch r="G34408"/>
    <cellWatch r="G34409"/>
    <cellWatch r="G34410"/>
    <cellWatch r="G34411"/>
    <cellWatch r="G34412"/>
    <cellWatch r="G34413"/>
    <cellWatch r="G34414"/>
    <cellWatch r="G34415"/>
    <cellWatch r="G34416"/>
    <cellWatch r="G34417"/>
    <cellWatch r="G34418"/>
    <cellWatch r="G34419"/>
    <cellWatch r="G34420"/>
    <cellWatch r="G34421"/>
    <cellWatch r="G34422"/>
    <cellWatch r="G34423"/>
    <cellWatch r="G34424"/>
    <cellWatch r="G34425"/>
    <cellWatch r="G34426"/>
    <cellWatch r="G34427"/>
    <cellWatch r="G34428"/>
    <cellWatch r="G34429"/>
    <cellWatch r="G34430"/>
    <cellWatch r="G34431"/>
    <cellWatch r="G34432"/>
    <cellWatch r="G34433"/>
    <cellWatch r="G34434"/>
    <cellWatch r="G34435"/>
    <cellWatch r="G34436"/>
    <cellWatch r="G34437"/>
    <cellWatch r="G34438"/>
    <cellWatch r="G34439"/>
    <cellWatch r="G34440"/>
    <cellWatch r="G34441"/>
    <cellWatch r="G34442"/>
    <cellWatch r="G34443"/>
    <cellWatch r="G34444"/>
    <cellWatch r="G34445"/>
    <cellWatch r="G34446"/>
    <cellWatch r="G34447"/>
    <cellWatch r="G34448"/>
    <cellWatch r="G34449"/>
    <cellWatch r="G34450"/>
    <cellWatch r="G34451"/>
    <cellWatch r="G34452"/>
    <cellWatch r="G34453"/>
    <cellWatch r="G34454"/>
    <cellWatch r="G34455"/>
    <cellWatch r="G34456"/>
    <cellWatch r="G34457"/>
    <cellWatch r="G34458"/>
    <cellWatch r="G34459"/>
    <cellWatch r="G34460"/>
    <cellWatch r="G34461"/>
    <cellWatch r="G34462"/>
    <cellWatch r="G34463"/>
    <cellWatch r="G34464"/>
    <cellWatch r="G34465"/>
    <cellWatch r="G34466"/>
    <cellWatch r="G34467"/>
    <cellWatch r="G34468"/>
    <cellWatch r="G34469"/>
    <cellWatch r="G34470"/>
    <cellWatch r="G34471"/>
    <cellWatch r="G34472"/>
    <cellWatch r="G34473"/>
    <cellWatch r="G34474"/>
    <cellWatch r="G34475"/>
    <cellWatch r="G34476"/>
    <cellWatch r="G34477"/>
    <cellWatch r="G34478"/>
    <cellWatch r="G34479"/>
    <cellWatch r="G34480"/>
    <cellWatch r="G34481"/>
    <cellWatch r="G34482"/>
    <cellWatch r="G34483"/>
    <cellWatch r="G34484"/>
    <cellWatch r="G34485"/>
    <cellWatch r="G34486"/>
    <cellWatch r="G34487"/>
    <cellWatch r="G34488"/>
    <cellWatch r="G34489"/>
    <cellWatch r="G34490"/>
    <cellWatch r="G34491"/>
    <cellWatch r="G34492"/>
    <cellWatch r="G34493"/>
    <cellWatch r="G34494"/>
    <cellWatch r="G34495"/>
    <cellWatch r="G34496"/>
    <cellWatch r="G34497"/>
    <cellWatch r="G34498"/>
    <cellWatch r="G34499"/>
    <cellWatch r="G34500"/>
    <cellWatch r="G34501"/>
    <cellWatch r="G34502"/>
    <cellWatch r="G34503"/>
    <cellWatch r="G34504"/>
    <cellWatch r="G34505"/>
    <cellWatch r="G34506"/>
    <cellWatch r="G34507"/>
    <cellWatch r="G34508"/>
    <cellWatch r="G34509"/>
    <cellWatch r="G34510"/>
    <cellWatch r="G34511"/>
    <cellWatch r="G34512"/>
    <cellWatch r="G34513"/>
    <cellWatch r="G34514"/>
    <cellWatch r="G34515"/>
    <cellWatch r="G34516"/>
    <cellWatch r="G34517"/>
    <cellWatch r="G34518"/>
    <cellWatch r="G34519"/>
    <cellWatch r="G34520"/>
    <cellWatch r="G34521"/>
    <cellWatch r="G34522"/>
    <cellWatch r="G34523"/>
    <cellWatch r="G34524"/>
    <cellWatch r="G34525"/>
    <cellWatch r="G34526"/>
    <cellWatch r="G34527"/>
    <cellWatch r="G34528"/>
    <cellWatch r="G34529"/>
    <cellWatch r="G34530"/>
    <cellWatch r="G34531"/>
    <cellWatch r="G34532"/>
    <cellWatch r="G34533"/>
    <cellWatch r="G34534"/>
    <cellWatch r="G34535"/>
    <cellWatch r="G34536"/>
    <cellWatch r="G34537"/>
    <cellWatch r="G34538"/>
    <cellWatch r="G34539"/>
    <cellWatch r="G34540"/>
    <cellWatch r="G34541"/>
    <cellWatch r="G34542"/>
    <cellWatch r="G34543"/>
    <cellWatch r="G34544"/>
    <cellWatch r="G34545"/>
    <cellWatch r="G34546"/>
    <cellWatch r="G34547"/>
    <cellWatch r="G34548"/>
    <cellWatch r="G34549"/>
    <cellWatch r="G34550"/>
    <cellWatch r="G34551"/>
    <cellWatch r="G34552"/>
    <cellWatch r="G34553"/>
    <cellWatch r="G34554"/>
    <cellWatch r="G34555"/>
    <cellWatch r="G34556"/>
    <cellWatch r="G34557"/>
    <cellWatch r="G34558"/>
    <cellWatch r="G34559"/>
    <cellWatch r="G34560"/>
    <cellWatch r="G34561"/>
    <cellWatch r="G34562"/>
    <cellWatch r="G34563"/>
    <cellWatch r="G34564"/>
    <cellWatch r="G34565"/>
    <cellWatch r="G34566"/>
    <cellWatch r="G34567"/>
    <cellWatch r="G34568"/>
    <cellWatch r="G34569"/>
    <cellWatch r="G34570"/>
    <cellWatch r="G34571"/>
    <cellWatch r="G34572"/>
    <cellWatch r="G34573"/>
    <cellWatch r="G34574"/>
    <cellWatch r="G34575"/>
    <cellWatch r="G34576"/>
    <cellWatch r="G34577"/>
    <cellWatch r="G34578"/>
    <cellWatch r="G34579"/>
    <cellWatch r="G34580"/>
    <cellWatch r="G34581"/>
    <cellWatch r="G34582"/>
    <cellWatch r="G34583"/>
    <cellWatch r="G34584"/>
    <cellWatch r="G34585"/>
    <cellWatch r="G34586"/>
    <cellWatch r="G34587"/>
    <cellWatch r="G34588"/>
    <cellWatch r="G34589"/>
    <cellWatch r="G34590"/>
    <cellWatch r="G34591"/>
    <cellWatch r="G34592"/>
    <cellWatch r="G34593"/>
    <cellWatch r="G34594"/>
    <cellWatch r="G34595"/>
    <cellWatch r="G34596"/>
    <cellWatch r="G34597"/>
    <cellWatch r="G34598"/>
    <cellWatch r="G34599"/>
    <cellWatch r="G34600"/>
    <cellWatch r="G34601"/>
    <cellWatch r="G34602"/>
    <cellWatch r="G34603"/>
    <cellWatch r="G34604"/>
    <cellWatch r="G34605"/>
    <cellWatch r="G34606"/>
    <cellWatch r="G34607"/>
    <cellWatch r="G34608"/>
    <cellWatch r="G34609"/>
    <cellWatch r="G34610"/>
    <cellWatch r="G34611"/>
    <cellWatch r="G34612"/>
    <cellWatch r="G34613"/>
    <cellWatch r="G34614"/>
    <cellWatch r="G34615"/>
    <cellWatch r="G34616"/>
    <cellWatch r="G34617"/>
    <cellWatch r="G34618"/>
    <cellWatch r="G34619"/>
    <cellWatch r="G34620"/>
    <cellWatch r="G34621"/>
    <cellWatch r="G34622"/>
    <cellWatch r="G34623"/>
    <cellWatch r="G34624"/>
    <cellWatch r="G34625"/>
    <cellWatch r="G34626"/>
    <cellWatch r="G34627"/>
    <cellWatch r="G34628"/>
    <cellWatch r="G34629"/>
    <cellWatch r="G34630"/>
    <cellWatch r="G34631"/>
    <cellWatch r="G34632"/>
    <cellWatch r="G34633"/>
    <cellWatch r="G34634"/>
    <cellWatch r="G34635"/>
    <cellWatch r="G34636"/>
    <cellWatch r="G34637"/>
    <cellWatch r="G34638"/>
    <cellWatch r="G34639"/>
    <cellWatch r="G34640"/>
    <cellWatch r="G34641"/>
    <cellWatch r="G34642"/>
    <cellWatch r="G34643"/>
    <cellWatch r="G34644"/>
    <cellWatch r="G34645"/>
    <cellWatch r="G34646"/>
    <cellWatch r="G34647"/>
    <cellWatch r="G34648"/>
    <cellWatch r="G34649"/>
    <cellWatch r="G34650"/>
    <cellWatch r="G34651"/>
    <cellWatch r="G34652"/>
    <cellWatch r="G34653"/>
    <cellWatch r="G34654"/>
    <cellWatch r="G34655"/>
    <cellWatch r="G34656"/>
    <cellWatch r="G34657"/>
    <cellWatch r="G34658"/>
    <cellWatch r="G34659"/>
    <cellWatch r="G34660"/>
    <cellWatch r="G34661"/>
    <cellWatch r="G34662"/>
    <cellWatch r="G34663"/>
    <cellWatch r="G34664"/>
    <cellWatch r="G34665"/>
    <cellWatch r="G34666"/>
    <cellWatch r="G34667"/>
    <cellWatch r="G34668"/>
    <cellWatch r="G34669"/>
    <cellWatch r="G34670"/>
    <cellWatch r="G34671"/>
    <cellWatch r="G34672"/>
    <cellWatch r="G34673"/>
    <cellWatch r="G34674"/>
    <cellWatch r="G34675"/>
    <cellWatch r="G34676"/>
    <cellWatch r="G34677"/>
    <cellWatch r="G34678"/>
    <cellWatch r="G34679"/>
    <cellWatch r="G34680"/>
    <cellWatch r="G34681"/>
    <cellWatch r="G34682"/>
    <cellWatch r="G34683"/>
    <cellWatch r="G34684"/>
    <cellWatch r="G34685"/>
    <cellWatch r="G34686"/>
    <cellWatch r="G34687"/>
    <cellWatch r="G34688"/>
    <cellWatch r="G34689"/>
    <cellWatch r="G34690"/>
    <cellWatch r="G34691"/>
    <cellWatch r="G34692"/>
    <cellWatch r="G34693"/>
    <cellWatch r="G34694"/>
    <cellWatch r="G34695"/>
    <cellWatch r="G34696"/>
    <cellWatch r="G34697"/>
    <cellWatch r="G34698"/>
    <cellWatch r="G34699"/>
    <cellWatch r="G34700"/>
    <cellWatch r="G34701"/>
    <cellWatch r="G34702"/>
    <cellWatch r="G34703"/>
    <cellWatch r="G34704"/>
    <cellWatch r="G34705"/>
    <cellWatch r="G34706"/>
    <cellWatch r="G34707"/>
    <cellWatch r="G34708"/>
    <cellWatch r="G34709"/>
    <cellWatch r="G34710"/>
    <cellWatch r="G34711"/>
    <cellWatch r="G34712"/>
    <cellWatch r="G34713"/>
    <cellWatch r="G34714"/>
    <cellWatch r="G34715"/>
    <cellWatch r="G34716"/>
    <cellWatch r="G34717"/>
    <cellWatch r="G34718"/>
    <cellWatch r="G34719"/>
    <cellWatch r="G34720"/>
    <cellWatch r="G34721"/>
    <cellWatch r="G34722"/>
    <cellWatch r="G34723"/>
    <cellWatch r="G34724"/>
    <cellWatch r="G34725"/>
    <cellWatch r="G34726"/>
    <cellWatch r="G34727"/>
    <cellWatch r="G34728"/>
    <cellWatch r="G34729"/>
    <cellWatch r="G34730"/>
    <cellWatch r="G34731"/>
    <cellWatch r="G34732"/>
    <cellWatch r="G34733"/>
    <cellWatch r="G34734"/>
    <cellWatch r="G34735"/>
    <cellWatch r="G34736"/>
    <cellWatch r="G34737"/>
    <cellWatch r="G34738"/>
    <cellWatch r="G34739"/>
    <cellWatch r="G34740"/>
    <cellWatch r="G34741"/>
    <cellWatch r="G34742"/>
    <cellWatch r="G34743"/>
    <cellWatch r="G34744"/>
    <cellWatch r="G34745"/>
    <cellWatch r="G34746"/>
    <cellWatch r="G34747"/>
    <cellWatch r="G34748"/>
    <cellWatch r="G34749"/>
    <cellWatch r="G34750"/>
    <cellWatch r="G34751"/>
    <cellWatch r="G34752"/>
    <cellWatch r="G34753"/>
    <cellWatch r="G34754"/>
    <cellWatch r="G34755"/>
    <cellWatch r="G34756"/>
    <cellWatch r="G34757"/>
    <cellWatch r="G34758"/>
    <cellWatch r="G34759"/>
    <cellWatch r="G34760"/>
    <cellWatch r="G34761"/>
    <cellWatch r="G34762"/>
    <cellWatch r="G34763"/>
    <cellWatch r="G34764"/>
    <cellWatch r="G34765"/>
    <cellWatch r="G34766"/>
    <cellWatch r="G34767"/>
    <cellWatch r="G34768"/>
    <cellWatch r="G34769"/>
    <cellWatch r="G34770"/>
    <cellWatch r="G34771"/>
    <cellWatch r="G34772"/>
    <cellWatch r="G34773"/>
    <cellWatch r="G34774"/>
    <cellWatch r="G34775"/>
    <cellWatch r="G34776"/>
    <cellWatch r="G34777"/>
    <cellWatch r="G34778"/>
    <cellWatch r="G34779"/>
    <cellWatch r="G34780"/>
    <cellWatch r="G34781"/>
    <cellWatch r="G34782"/>
    <cellWatch r="G34783"/>
    <cellWatch r="G34784"/>
    <cellWatch r="G34785"/>
    <cellWatch r="G34786"/>
    <cellWatch r="G34787"/>
    <cellWatch r="G34788"/>
    <cellWatch r="G34789"/>
    <cellWatch r="G34790"/>
    <cellWatch r="G34791"/>
    <cellWatch r="G34792"/>
    <cellWatch r="G34793"/>
    <cellWatch r="G34794"/>
    <cellWatch r="G34795"/>
    <cellWatch r="G34796"/>
    <cellWatch r="G34797"/>
    <cellWatch r="G34798"/>
    <cellWatch r="G34799"/>
    <cellWatch r="G34800"/>
    <cellWatch r="G34801"/>
    <cellWatch r="G34802"/>
    <cellWatch r="G34803"/>
    <cellWatch r="G34804"/>
    <cellWatch r="G34805"/>
    <cellWatch r="G34806"/>
    <cellWatch r="G34807"/>
    <cellWatch r="G34808"/>
    <cellWatch r="G34809"/>
    <cellWatch r="G34810"/>
    <cellWatch r="G34811"/>
    <cellWatch r="G34812"/>
    <cellWatch r="G34813"/>
    <cellWatch r="G34814"/>
    <cellWatch r="G34815"/>
    <cellWatch r="G34816"/>
    <cellWatch r="G34817"/>
    <cellWatch r="G34818"/>
    <cellWatch r="G34819"/>
    <cellWatch r="G34820"/>
    <cellWatch r="G34821"/>
    <cellWatch r="G34822"/>
    <cellWatch r="G34823"/>
    <cellWatch r="G34824"/>
    <cellWatch r="G34825"/>
    <cellWatch r="G34826"/>
    <cellWatch r="G34827"/>
    <cellWatch r="G34828"/>
    <cellWatch r="G34829"/>
    <cellWatch r="G34830"/>
    <cellWatch r="G34831"/>
    <cellWatch r="G34832"/>
    <cellWatch r="G34833"/>
    <cellWatch r="G34834"/>
    <cellWatch r="G34835"/>
    <cellWatch r="G34836"/>
    <cellWatch r="G34837"/>
    <cellWatch r="G34838"/>
    <cellWatch r="G34839"/>
    <cellWatch r="G34840"/>
    <cellWatch r="G34841"/>
    <cellWatch r="G34842"/>
    <cellWatch r="G34843"/>
    <cellWatch r="G34844"/>
    <cellWatch r="G34845"/>
    <cellWatch r="G34846"/>
    <cellWatch r="G34847"/>
    <cellWatch r="G34848"/>
    <cellWatch r="G34849"/>
    <cellWatch r="G34850"/>
    <cellWatch r="G34851"/>
    <cellWatch r="G34852"/>
    <cellWatch r="G34853"/>
    <cellWatch r="G34854"/>
    <cellWatch r="G34855"/>
    <cellWatch r="G34856"/>
    <cellWatch r="G34857"/>
    <cellWatch r="G34858"/>
    <cellWatch r="G34859"/>
    <cellWatch r="G34860"/>
    <cellWatch r="G34861"/>
    <cellWatch r="G34862"/>
    <cellWatch r="G34863"/>
    <cellWatch r="G34864"/>
    <cellWatch r="G34865"/>
    <cellWatch r="G34866"/>
    <cellWatch r="G34867"/>
    <cellWatch r="G34868"/>
    <cellWatch r="G34869"/>
    <cellWatch r="G34870"/>
    <cellWatch r="G34871"/>
    <cellWatch r="G34872"/>
    <cellWatch r="G34873"/>
    <cellWatch r="G34874"/>
    <cellWatch r="G34875"/>
    <cellWatch r="G34876"/>
    <cellWatch r="G34877"/>
    <cellWatch r="G34878"/>
    <cellWatch r="G34879"/>
    <cellWatch r="G34880"/>
    <cellWatch r="G34881"/>
    <cellWatch r="G34882"/>
    <cellWatch r="G34883"/>
    <cellWatch r="G34884"/>
    <cellWatch r="G34885"/>
    <cellWatch r="G34886"/>
    <cellWatch r="G34887"/>
    <cellWatch r="G34888"/>
    <cellWatch r="G34889"/>
    <cellWatch r="G34890"/>
    <cellWatch r="G34891"/>
    <cellWatch r="G34892"/>
    <cellWatch r="G34893"/>
    <cellWatch r="G34894"/>
    <cellWatch r="G34895"/>
    <cellWatch r="G34896"/>
    <cellWatch r="G34897"/>
    <cellWatch r="G34898"/>
    <cellWatch r="G34899"/>
    <cellWatch r="G34900"/>
    <cellWatch r="G34901"/>
    <cellWatch r="G34902"/>
    <cellWatch r="G34903"/>
    <cellWatch r="G34904"/>
    <cellWatch r="G34905"/>
    <cellWatch r="G34906"/>
    <cellWatch r="G34907"/>
    <cellWatch r="G34908"/>
    <cellWatch r="G34909"/>
    <cellWatch r="G34910"/>
    <cellWatch r="G34911"/>
    <cellWatch r="G34912"/>
    <cellWatch r="G34913"/>
    <cellWatch r="G34914"/>
    <cellWatch r="G34915"/>
    <cellWatch r="G34916"/>
    <cellWatch r="G34917"/>
    <cellWatch r="G34918"/>
    <cellWatch r="G34919"/>
    <cellWatch r="G34920"/>
    <cellWatch r="G34921"/>
    <cellWatch r="G34922"/>
    <cellWatch r="G34923"/>
    <cellWatch r="G34924"/>
    <cellWatch r="G34925"/>
    <cellWatch r="G34926"/>
    <cellWatch r="G34927"/>
    <cellWatch r="G34928"/>
    <cellWatch r="G34929"/>
    <cellWatch r="G34930"/>
    <cellWatch r="G34931"/>
    <cellWatch r="G34932"/>
    <cellWatch r="G34933"/>
    <cellWatch r="G34934"/>
    <cellWatch r="G34935"/>
    <cellWatch r="G34936"/>
    <cellWatch r="G34937"/>
    <cellWatch r="G34938"/>
    <cellWatch r="G34939"/>
    <cellWatch r="G34940"/>
    <cellWatch r="G34941"/>
    <cellWatch r="G34942"/>
    <cellWatch r="G34943"/>
    <cellWatch r="G34944"/>
    <cellWatch r="G34945"/>
    <cellWatch r="G34946"/>
    <cellWatch r="G34947"/>
    <cellWatch r="G34948"/>
    <cellWatch r="G34949"/>
    <cellWatch r="G34950"/>
    <cellWatch r="G34951"/>
    <cellWatch r="G34952"/>
    <cellWatch r="G34953"/>
    <cellWatch r="G34954"/>
    <cellWatch r="G34955"/>
    <cellWatch r="G34956"/>
    <cellWatch r="G34957"/>
    <cellWatch r="G34958"/>
    <cellWatch r="G34959"/>
    <cellWatch r="G34960"/>
    <cellWatch r="G34961"/>
    <cellWatch r="G34962"/>
    <cellWatch r="G34963"/>
    <cellWatch r="G34964"/>
    <cellWatch r="G34965"/>
    <cellWatch r="G34966"/>
    <cellWatch r="G34967"/>
    <cellWatch r="G34968"/>
    <cellWatch r="G34969"/>
    <cellWatch r="G34970"/>
    <cellWatch r="G34971"/>
    <cellWatch r="G34972"/>
    <cellWatch r="G34973"/>
    <cellWatch r="G34974"/>
    <cellWatch r="G34975"/>
    <cellWatch r="G34976"/>
    <cellWatch r="G34977"/>
    <cellWatch r="G34978"/>
    <cellWatch r="G34979"/>
    <cellWatch r="G34980"/>
    <cellWatch r="G34981"/>
    <cellWatch r="G34982"/>
    <cellWatch r="G34983"/>
    <cellWatch r="G34984"/>
    <cellWatch r="G34985"/>
    <cellWatch r="G34986"/>
    <cellWatch r="G34987"/>
    <cellWatch r="G34988"/>
    <cellWatch r="G34989"/>
    <cellWatch r="G34990"/>
    <cellWatch r="G34991"/>
    <cellWatch r="G34992"/>
    <cellWatch r="G34993"/>
    <cellWatch r="G34994"/>
    <cellWatch r="G34995"/>
    <cellWatch r="G34996"/>
    <cellWatch r="G34997"/>
    <cellWatch r="G34998"/>
    <cellWatch r="G34999"/>
    <cellWatch r="G35000"/>
    <cellWatch r="G35001"/>
    <cellWatch r="G35002"/>
    <cellWatch r="G35003"/>
    <cellWatch r="G35004"/>
    <cellWatch r="G35005"/>
    <cellWatch r="G35006"/>
    <cellWatch r="G35007"/>
    <cellWatch r="G35008"/>
    <cellWatch r="G35009"/>
    <cellWatch r="G35010"/>
    <cellWatch r="G35011"/>
    <cellWatch r="G35012"/>
    <cellWatch r="G35013"/>
    <cellWatch r="G35014"/>
    <cellWatch r="G35015"/>
    <cellWatch r="G35016"/>
    <cellWatch r="G35017"/>
    <cellWatch r="G35018"/>
    <cellWatch r="G35019"/>
    <cellWatch r="G35020"/>
    <cellWatch r="G35021"/>
    <cellWatch r="G35022"/>
    <cellWatch r="G35023"/>
    <cellWatch r="G35024"/>
    <cellWatch r="G35025"/>
    <cellWatch r="G35026"/>
    <cellWatch r="G35027"/>
    <cellWatch r="G35028"/>
    <cellWatch r="G35029"/>
    <cellWatch r="G35030"/>
    <cellWatch r="G35031"/>
    <cellWatch r="G35032"/>
    <cellWatch r="G35033"/>
    <cellWatch r="G35034"/>
    <cellWatch r="G35035"/>
    <cellWatch r="G35036"/>
    <cellWatch r="G35037"/>
    <cellWatch r="G35038"/>
    <cellWatch r="G35039"/>
    <cellWatch r="G35040"/>
    <cellWatch r="G35041"/>
    <cellWatch r="G35042"/>
    <cellWatch r="G35043"/>
    <cellWatch r="G35044"/>
    <cellWatch r="G35045"/>
    <cellWatch r="G35046"/>
    <cellWatch r="G35047"/>
    <cellWatch r="G35048"/>
    <cellWatch r="G35049"/>
    <cellWatch r="G35050"/>
    <cellWatch r="G35051"/>
    <cellWatch r="G35052"/>
    <cellWatch r="G35053"/>
    <cellWatch r="G35054"/>
    <cellWatch r="G35055"/>
    <cellWatch r="G35056"/>
    <cellWatch r="G35057"/>
    <cellWatch r="G35058"/>
    <cellWatch r="G35059"/>
    <cellWatch r="G35060"/>
    <cellWatch r="G35061"/>
    <cellWatch r="G35062"/>
    <cellWatch r="G35063"/>
    <cellWatch r="G35064"/>
    <cellWatch r="G35065"/>
    <cellWatch r="G35066"/>
    <cellWatch r="G35067"/>
    <cellWatch r="G35068"/>
    <cellWatch r="G35069"/>
    <cellWatch r="G35070"/>
    <cellWatch r="G35071"/>
    <cellWatch r="G35072"/>
    <cellWatch r="G35073"/>
    <cellWatch r="G35074"/>
    <cellWatch r="G35075"/>
    <cellWatch r="G35076"/>
    <cellWatch r="G35077"/>
    <cellWatch r="G35078"/>
    <cellWatch r="G35079"/>
    <cellWatch r="G35080"/>
    <cellWatch r="G35081"/>
    <cellWatch r="G35082"/>
    <cellWatch r="G35083"/>
    <cellWatch r="G35084"/>
    <cellWatch r="G35085"/>
    <cellWatch r="G35086"/>
    <cellWatch r="G35087"/>
    <cellWatch r="G35088"/>
    <cellWatch r="G35089"/>
    <cellWatch r="G35090"/>
    <cellWatch r="G35091"/>
    <cellWatch r="G35092"/>
    <cellWatch r="G35093"/>
    <cellWatch r="G35094"/>
    <cellWatch r="G35095"/>
    <cellWatch r="G35096"/>
    <cellWatch r="G35097"/>
    <cellWatch r="G35098"/>
    <cellWatch r="G35099"/>
    <cellWatch r="G35100"/>
    <cellWatch r="G35101"/>
    <cellWatch r="G35102"/>
    <cellWatch r="G35103"/>
    <cellWatch r="G35104"/>
    <cellWatch r="G35105"/>
    <cellWatch r="G35106"/>
    <cellWatch r="G35107"/>
    <cellWatch r="G35108"/>
    <cellWatch r="G35109"/>
    <cellWatch r="G35110"/>
    <cellWatch r="G35111"/>
    <cellWatch r="G35112"/>
    <cellWatch r="G35113"/>
    <cellWatch r="G35114"/>
    <cellWatch r="G35115"/>
    <cellWatch r="G35116"/>
    <cellWatch r="G35117"/>
    <cellWatch r="G35118"/>
    <cellWatch r="G35119"/>
    <cellWatch r="G35120"/>
    <cellWatch r="G35121"/>
    <cellWatch r="G35122"/>
    <cellWatch r="G35123"/>
    <cellWatch r="G35124"/>
    <cellWatch r="G35125"/>
    <cellWatch r="G35126"/>
    <cellWatch r="G35127"/>
    <cellWatch r="G35128"/>
    <cellWatch r="G35129"/>
    <cellWatch r="G35130"/>
    <cellWatch r="G35131"/>
    <cellWatch r="G35132"/>
    <cellWatch r="G35133"/>
    <cellWatch r="G35134"/>
    <cellWatch r="G35135"/>
    <cellWatch r="G35136"/>
    <cellWatch r="G35137"/>
    <cellWatch r="G35138"/>
    <cellWatch r="G35139"/>
    <cellWatch r="G35140"/>
    <cellWatch r="G35141"/>
    <cellWatch r="G35142"/>
    <cellWatch r="G35143"/>
    <cellWatch r="G35144"/>
    <cellWatch r="G35145"/>
    <cellWatch r="G35146"/>
    <cellWatch r="G35147"/>
    <cellWatch r="G35148"/>
    <cellWatch r="G35149"/>
    <cellWatch r="G35150"/>
    <cellWatch r="G35151"/>
    <cellWatch r="G35152"/>
    <cellWatch r="G35153"/>
    <cellWatch r="G35154"/>
    <cellWatch r="G35155"/>
    <cellWatch r="G35156"/>
    <cellWatch r="G35157"/>
    <cellWatch r="G35158"/>
    <cellWatch r="G35159"/>
    <cellWatch r="G35160"/>
    <cellWatch r="G35161"/>
    <cellWatch r="G35162"/>
    <cellWatch r="G35163"/>
    <cellWatch r="G35164"/>
    <cellWatch r="G35165"/>
    <cellWatch r="G35166"/>
    <cellWatch r="G35167"/>
    <cellWatch r="G35168"/>
    <cellWatch r="G35169"/>
    <cellWatch r="G35170"/>
    <cellWatch r="G35171"/>
    <cellWatch r="G35172"/>
    <cellWatch r="G35173"/>
    <cellWatch r="G35174"/>
    <cellWatch r="G35175"/>
    <cellWatch r="G35176"/>
    <cellWatch r="G35177"/>
    <cellWatch r="G35178"/>
    <cellWatch r="G35179"/>
    <cellWatch r="G35180"/>
    <cellWatch r="G35181"/>
    <cellWatch r="G35182"/>
    <cellWatch r="G35183"/>
    <cellWatch r="G35184"/>
    <cellWatch r="G35185"/>
    <cellWatch r="G35186"/>
    <cellWatch r="G35187"/>
    <cellWatch r="G35188"/>
    <cellWatch r="G35189"/>
    <cellWatch r="G35190"/>
    <cellWatch r="G35191"/>
    <cellWatch r="G35192"/>
    <cellWatch r="G35193"/>
    <cellWatch r="G35194"/>
    <cellWatch r="G35195"/>
    <cellWatch r="G35196"/>
    <cellWatch r="G35197"/>
    <cellWatch r="G35198"/>
    <cellWatch r="G35199"/>
    <cellWatch r="G35200"/>
    <cellWatch r="G35201"/>
    <cellWatch r="G35202"/>
    <cellWatch r="G35203"/>
    <cellWatch r="G35204"/>
    <cellWatch r="G35205"/>
    <cellWatch r="G35206"/>
    <cellWatch r="G35207"/>
    <cellWatch r="G35208"/>
    <cellWatch r="G35209"/>
    <cellWatch r="G35210"/>
    <cellWatch r="G35211"/>
    <cellWatch r="G35212"/>
    <cellWatch r="G35213"/>
    <cellWatch r="G35214"/>
    <cellWatch r="G35215"/>
    <cellWatch r="G35216"/>
    <cellWatch r="G35217"/>
    <cellWatch r="G35218"/>
    <cellWatch r="G35219"/>
    <cellWatch r="G35220"/>
    <cellWatch r="G35221"/>
    <cellWatch r="G35222"/>
    <cellWatch r="G35223"/>
    <cellWatch r="G35224"/>
    <cellWatch r="G35225"/>
    <cellWatch r="G35226"/>
    <cellWatch r="G35227"/>
    <cellWatch r="G35228"/>
    <cellWatch r="G35229"/>
    <cellWatch r="G35230"/>
    <cellWatch r="G35231"/>
    <cellWatch r="G35232"/>
    <cellWatch r="G35233"/>
    <cellWatch r="G35234"/>
    <cellWatch r="G35235"/>
    <cellWatch r="G35236"/>
    <cellWatch r="G35237"/>
    <cellWatch r="G35238"/>
    <cellWatch r="G35239"/>
    <cellWatch r="G35240"/>
    <cellWatch r="G35241"/>
    <cellWatch r="G35242"/>
    <cellWatch r="G35243"/>
    <cellWatch r="G35244"/>
    <cellWatch r="G35245"/>
    <cellWatch r="G35246"/>
    <cellWatch r="G35247"/>
    <cellWatch r="G35248"/>
    <cellWatch r="G35249"/>
    <cellWatch r="G35250"/>
    <cellWatch r="G35251"/>
    <cellWatch r="G35252"/>
    <cellWatch r="G35253"/>
    <cellWatch r="G35254"/>
    <cellWatch r="G35255"/>
    <cellWatch r="G35256"/>
    <cellWatch r="G35257"/>
    <cellWatch r="G35258"/>
    <cellWatch r="G35259"/>
    <cellWatch r="G35260"/>
    <cellWatch r="G35261"/>
    <cellWatch r="G35262"/>
    <cellWatch r="G35263"/>
    <cellWatch r="G35264"/>
    <cellWatch r="G35265"/>
    <cellWatch r="G35266"/>
    <cellWatch r="G35267"/>
    <cellWatch r="G35268"/>
    <cellWatch r="G35269"/>
    <cellWatch r="G35270"/>
    <cellWatch r="G35271"/>
    <cellWatch r="G35272"/>
    <cellWatch r="G35273"/>
    <cellWatch r="G35274"/>
    <cellWatch r="G35275"/>
    <cellWatch r="G35276"/>
    <cellWatch r="G35277"/>
    <cellWatch r="G35278"/>
    <cellWatch r="G35279"/>
    <cellWatch r="G35280"/>
    <cellWatch r="G35281"/>
    <cellWatch r="G35282"/>
    <cellWatch r="G35283"/>
    <cellWatch r="G35284"/>
    <cellWatch r="G35285"/>
    <cellWatch r="G35286"/>
    <cellWatch r="G35287"/>
    <cellWatch r="G35288"/>
    <cellWatch r="G35289"/>
    <cellWatch r="G35290"/>
    <cellWatch r="G35291"/>
    <cellWatch r="G35292"/>
    <cellWatch r="G35293"/>
    <cellWatch r="G35294"/>
    <cellWatch r="G35295"/>
    <cellWatch r="G35296"/>
    <cellWatch r="G35297"/>
    <cellWatch r="G35298"/>
    <cellWatch r="G35299"/>
    <cellWatch r="G35300"/>
    <cellWatch r="G35301"/>
    <cellWatch r="G35302"/>
    <cellWatch r="G35303"/>
    <cellWatch r="G35304"/>
    <cellWatch r="G35305"/>
    <cellWatch r="G35306"/>
    <cellWatch r="G35307"/>
    <cellWatch r="G35308"/>
    <cellWatch r="G35309"/>
    <cellWatch r="G35310"/>
    <cellWatch r="G35311"/>
    <cellWatch r="G35312"/>
    <cellWatch r="G35313"/>
    <cellWatch r="G35314"/>
    <cellWatch r="G35315"/>
    <cellWatch r="G35316"/>
    <cellWatch r="G35317"/>
    <cellWatch r="G35318"/>
    <cellWatch r="G35319"/>
    <cellWatch r="G35320"/>
    <cellWatch r="G35321"/>
    <cellWatch r="G35322"/>
    <cellWatch r="G35323"/>
    <cellWatch r="G35324"/>
    <cellWatch r="G35325"/>
    <cellWatch r="G35326"/>
    <cellWatch r="G35327"/>
    <cellWatch r="G35328"/>
    <cellWatch r="G35329"/>
    <cellWatch r="G35330"/>
    <cellWatch r="G35331"/>
    <cellWatch r="G35332"/>
    <cellWatch r="G35333"/>
    <cellWatch r="G35334"/>
    <cellWatch r="G35335"/>
    <cellWatch r="G35336"/>
    <cellWatch r="G35337"/>
    <cellWatch r="G35338"/>
    <cellWatch r="G35339"/>
    <cellWatch r="G35340"/>
    <cellWatch r="G35341"/>
    <cellWatch r="G35342"/>
    <cellWatch r="G35343"/>
    <cellWatch r="G35344"/>
    <cellWatch r="G35345"/>
    <cellWatch r="G35346"/>
    <cellWatch r="G35347"/>
    <cellWatch r="G35348"/>
    <cellWatch r="G35349"/>
    <cellWatch r="G35350"/>
    <cellWatch r="G35351"/>
    <cellWatch r="G35352"/>
    <cellWatch r="G35353"/>
    <cellWatch r="G35354"/>
    <cellWatch r="G35355"/>
    <cellWatch r="G35356"/>
    <cellWatch r="G35357"/>
    <cellWatch r="G35358"/>
    <cellWatch r="G35359"/>
    <cellWatch r="G35360"/>
    <cellWatch r="G35361"/>
    <cellWatch r="G35362"/>
    <cellWatch r="G35363"/>
    <cellWatch r="G35364"/>
    <cellWatch r="G35365"/>
    <cellWatch r="G35366"/>
    <cellWatch r="G35367"/>
    <cellWatch r="G35368"/>
    <cellWatch r="G35369"/>
    <cellWatch r="G35370"/>
    <cellWatch r="G35371"/>
    <cellWatch r="G35372"/>
    <cellWatch r="G35373"/>
    <cellWatch r="G35374"/>
    <cellWatch r="G35375"/>
    <cellWatch r="G35376"/>
    <cellWatch r="G35377"/>
    <cellWatch r="G35378"/>
    <cellWatch r="G35379"/>
    <cellWatch r="G35380"/>
    <cellWatch r="G35381"/>
    <cellWatch r="G35382"/>
    <cellWatch r="G35383"/>
    <cellWatch r="G35384"/>
    <cellWatch r="G35385"/>
    <cellWatch r="G35386"/>
    <cellWatch r="G35387"/>
    <cellWatch r="G35388"/>
    <cellWatch r="G35389"/>
    <cellWatch r="G35390"/>
    <cellWatch r="G35391"/>
    <cellWatch r="G35392"/>
    <cellWatch r="G35393"/>
    <cellWatch r="G35394"/>
    <cellWatch r="G35395"/>
    <cellWatch r="G35396"/>
    <cellWatch r="G35397"/>
    <cellWatch r="G35398"/>
    <cellWatch r="G35399"/>
    <cellWatch r="G35400"/>
    <cellWatch r="G35401"/>
    <cellWatch r="G35402"/>
    <cellWatch r="G35403"/>
    <cellWatch r="G35404"/>
    <cellWatch r="G35405"/>
    <cellWatch r="G35406"/>
    <cellWatch r="G35407"/>
    <cellWatch r="G35408"/>
    <cellWatch r="G35409"/>
    <cellWatch r="G35410"/>
    <cellWatch r="G35411"/>
    <cellWatch r="G35412"/>
    <cellWatch r="G35413"/>
    <cellWatch r="G35414"/>
    <cellWatch r="G35415"/>
    <cellWatch r="G35416"/>
    <cellWatch r="G35417"/>
    <cellWatch r="G35418"/>
    <cellWatch r="G35419"/>
    <cellWatch r="G35420"/>
    <cellWatch r="G35421"/>
    <cellWatch r="G35422"/>
    <cellWatch r="G35423"/>
    <cellWatch r="G35424"/>
    <cellWatch r="G35425"/>
    <cellWatch r="G35426"/>
    <cellWatch r="G35427"/>
    <cellWatch r="G35428"/>
    <cellWatch r="G35429"/>
    <cellWatch r="G35430"/>
    <cellWatch r="G35431"/>
    <cellWatch r="G35432"/>
    <cellWatch r="G35433"/>
    <cellWatch r="G35434"/>
    <cellWatch r="G35435"/>
    <cellWatch r="G35436"/>
    <cellWatch r="G35437"/>
    <cellWatch r="G35438"/>
    <cellWatch r="G35439"/>
    <cellWatch r="G35440"/>
    <cellWatch r="G35441"/>
    <cellWatch r="G35442"/>
    <cellWatch r="G35443"/>
    <cellWatch r="G35444"/>
    <cellWatch r="G35445"/>
    <cellWatch r="G35446"/>
    <cellWatch r="G35447"/>
    <cellWatch r="G35448"/>
    <cellWatch r="G35449"/>
    <cellWatch r="G35450"/>
    <cellWatch r="G35451"/>
    <cellWatch r="G35452"/>
    <cellWatch r="G35453"/>
    <cellWatch r="G35454"/>
    <cellWatch r="G35455"/>
    <cellWatch r="G35456"/>
    <cellWatch r="G35457"/>
    <cellWatch r="G35458"/>
    <cellWatch r="G35459"/>
    <cellWatch r="G35460"/>
    <cellWatch r="G35461"/>
    <cellWatch r="G35462"/>
    <cellWatch r="G35463"/>
    <cellWatch r="G35464"/>
    <cellWatch r="G35465"/>
    <cellWatch r="G35466"/>
    <cellWatch r="G35467"/>
    <cellWatch r="G35468"/>
    <cellWatch r="G35469"/>
    <cellWatch r="G35470"/>
    <cellWatch r="G35471"/>
    <cellWatch r="G35472"/>
    <cellWatch r="G35473"/>
    <cellWatch r="G35474"/>
    <cellWatch r="G35475"/>
    <cellWatch r="G35476"/>
    <cellWatch r="G35477"/>
    <cellWatch r="G35478"/>
    <cellWatch r="G35479"/>
    <cellWatch r="G35480"/>
    <cellWatch r="G35481"/>
    <cellWatch r="G35482"/>
    <cellWatch r="G35483"/>
    <cellWatch r="G35484"/>
    <cellWatch r="G35485"/>
    <cellWatch r="G35486"/>
    <cellWatch r="G35487"/>
    <cellWatch r="G35488"/>
    <cellWatch r="G35489"/>
    <cellWatch r="G35490"/>
    <cellWatch r="G35491"/>
    <cellWatch r="G35492"/>
    <cellWatch r="G35493"/>
    <cellWatch r="G35494"/>
    <cellWatch r="G35495"/>
    <cellWatch r="G35496"/>
    <cellWatch r="G35497"/>
    <cellWatch r="G35498"/>
    <cellWatch r="G35499"/>
    <cellWatch r="G35500"/>
    <cellWatch r="G35501"/>
    <cellWatch r="G35502"/>
    <cellWatch r="G35503"/>
    <cellWatch r="G35504"/>
    <cellWatch r="G35505"/>
    <cellWatch r="G35506"/>
    <cellWatch r="G35507"/>
    <cellWatch r="G35508"/>
    <cellWatch r="G35509"/>
    <cellWatch r="G35510"/>
    <cellWatch r="G35511"/>
    <cellWatch r="G35512"/>
    <cellWatch r="G35513"/>
    <cellWatch r="G35514"/>
    <cellWatch r="G35515"/>
    <cellWatch r="G35516"/>
    <cellWatch r="G35517"/>
    <cellWatch r="G35518"/>
    <cellWatch r="G35519"/>
    <cellWatch r="G35520"/>
    <cellWatch r="G35521"/>
    <cellWatch r="G35522"/>
    <cellWatch r="G35523"/>
    <cellWatch r="G35524"/>
    <cellWatch r="G35525"/>
    <cellWatch r="G35526"/>
    <cellWatch r="G35527"/>
    <cellWatch r="G35528"/>
    <cellWatch r="G35529"/>
    <cellWatch r="G35530"/>
    <cellWatch r="G35531"/>
    <cellWatch r="G35532"/>
    <cellWatch r="G35533"/>
    <cellWatch r="G35534"/>
    <cellWatch r="G35535"/>
    <cellWatch r="G35536"/>
    <cellWatch r="G35537"/>
    <cellWatch r="G35538"/>
    <cellWatch r="G35539"/>
    <cellWatch r="G35540"/>
    <cellWatch r="G35541"/>
    <cellWatch r="G35542"/>
    <cellWatch r="G35543"/>
    <cellWatch r="G35544"/>
    <cellWatch r="G35545"/>
    <cellWatch r="G35546"/>
    <cellWatch r="G35547"/>
    <cellWatch r="G35548"/>
    <cellWatch r="G35549"/>
    <cellWatch r="G35550"/>
    <cellWatch r="G35551"/>
    <cellWatch r="G35552"/>
    <cellWatch r="G35553"/>
    <cellWatch r="G35554"/>
    <cellWatch r="G35555"/>
    <cellWatch r="G35556"/>
    <cellWatch r="G35557"/>
    <cellWatch r="G35558"/>
    <cellWatch r="G35559"/>
    <cellWatch r="G35560"/>
    <cellWatch r="G35561"/>
    <cellWatch r="G35562"/>
    <cellWatch r="G35563"/>
    <cellWatch r="G35564"/>
    <cellWatch r="G35565"/>
    <cellWatch r="G35566"/>
    <cellWatch r="G35567"/>
    <cellWatch r="G35568"/>
    <cellWatch r="G35569"/>
    <cellWatch r="G35570"/>
    <cellWatch r="G35571"/>
    <cellWatch r="G35572"/>
    <cellWatch r="G35573"/>
    <cellWatch r="G35574"/>
    <cellWatch r="G35575"/>
    <cellWatch r="G35576"/>
    <cellWatch r="G35577"/>
    <cellWatch r="G35578"/>
    <cellWatch r="G35579"/>
    <cellWatch r="G35580"/>
    <cellWatch r="G35581"/>
    <cellWatch r="G35582"/>
    <cellWatch r="G35583"/>
    <cellWatch r="G35584"/>
    <cellWatch r="G35585"/>
    <cellWatch r="G35586"/>
    <cellWatch r="G35587"/>
    <cellWatch r="G35588"/>
    <cellWatch r="G35589"/>
    <cellWatch r="G35590"/>
    <cellWatch r="G35591"/>
    <cellWatch r="G35592"/>
    <cellWatch r="G35593"/>
    <cellWatch r="G35594"/>
    <cellWatch r="G35595"/>
    <cellWatch r="G35596"/>
    <cellWatch r="G35597"/>
    <cellWatch r="G35598"/>
    <cellWatch r="G35599"/>
    <cellWatch r="G35600"/>
    <cellWatch r="G35601"/>
    <cellWatch r="G35602"/>
    <cellWatch r="G35603"/>
    <cellWatch r="G35604"/>
    <cellWatch r="G35605"/>
    <cellWatch r="G35606"/>
    <cellWatch r="G35607"/>
    <cellWatch r="G35608"/>
    <cellWatch r="G35609"/>
    <cellWatch r="G35610"/>
    <cellWatch r="G35611"/>
    <cellWatch r="G35612"/>
    <cellWatch r="G35613"/>
    <cellWatch r="G35614"/>
    <cellWatch r="G35615"/>
    <cellWatch r="G35616"/>
    <cellWatch r="G35617"/>
    <cellWatch r="G35618"/>
    <cellWatch r="G35619"/>
    <cellWatch r="G35620"/>
    <cellWatch r="G35621"/>
    <cellWatch r="G35622"/>
    <cellWatch r="G35623"/>
    <cellWatch r="G35624"/>
    <cellWatch r="G35625"/>
    <cellWatch r="G35626"/>
    <cellWatch r="G35627"/>
    <cellWatch r="G35628"/>
    <cellWatch r="G35629"/>
    <cellWatch r="G35630"/>
    <cellWatch r="G35631"/>
    <cellWatch r="G35632"/>
    <cellWatch r="G35633"/>
    <cellWatch r="G35634"/>
    <cellWatch r="G35635"/>
    <cellWatch r="G35636"/>
    <cellWatch r="G35637"/>
    <cellWatch r="G35638"/>
    <cellWatch r="G35639"/>
    <cellWatch r="G35640"/>
    <cellWatch r="G35641"/>
    <cellWatch r="G35642"/>
    <cellWatch r="G35643"/>
    <cellWatch r="G35644"/>
    <cellWatch r="G35645"/>
    <cellWatch r="G35646"/>
    <cellWatch r="G35647"/>
    <cellWatch r="G35648"/>
    <cellWatch r="G35649"/>
    <cellWatch r="G35650"/>
    <cellWatch r="G35651"/>
    <cellWatch r="G35652"/>
    <cellWatch r="G35653"/>
    <cellWatch r="G35654"/>
    <cellWatch r="G35655"/>
    <cellWatch r="G35656"/>
    <cellWatch r="G35657"/>
    <cellWatch r="G35658"/>
    <cellWatch r="G35659"/>
    <cellWatch r="G35660"/>
    <cellWatch r="G35661"/>
    <cellWatch r="G35662"/>
    <cellWatch r="G35663"/>
    <cellWatch r="G35664"/>
    <cellWatch r="G35665"/>
    <cellWatch r="G35666"/>
    <cellWatch r="G35667"/>
    <cellWatch r="G35668"/>
    <cellWatch r="G35669"/>
    <cellWatch r="G35670"/>
    <cellWatch r="G35671"/>
    <cellWatch r="G35672"/>
    <cellWatch r="G35673"/>
    <cellWatch r="G35674"/>
    <cellWatch r="G35675"/>
    <cellWatch r="G35676"/>
    <cellWatch r="G35677"/>
    <cellWatch r="G35678"/>
    <cellWatch r="G35679"/>
    <cellWatch r="G35680"/>
    <cellWatch r="G35681"/>
    <cellWatch r="G35682"/>
    <cellWatch r="G35683"/>
    <cellWatch r="G35684"/>
    <cellWatch r="G35685"/>
    <cellWatch r="G35686"/>
    <cellWatch r="G35687"/>
    <cellWatch r="G35688"/>
    <cellWatch r="G35689"/>
    <cellWatch r="G35690"/>
    <cellWatch r="G35691"/>
    <cellWatch r="G35692"/>
    <cellWatch r="G35693"/>
    <cellWatch r="G35694"/>
    <cellWatch r="G35695"/>
    <cellWatch r="G35696"/>
    <cellWatch r="G35697"/>
    <cellWatch r="G35698"/>
    <cellWatch r="G35699"/>
    <cellWatch r="G35700"/>
    <cellWatch r="G35701"/>
    <cellWatch r="G35702"/>
    <cellWatch r="G35703"/>
    <cellWatch r="G35704"/>
    <cellWatch r="G35705"/>
    <cellWatch r="G35706"/>
    <cellWatch r="G35707"/>
    <cellWatch r="G35708"/>
    <cellWatch r="G35709"/>
    <cellWatch r="G35710"/>
    <cellWatch r="G35711"/>
    <cellWatch r="G35712"/>
    <cellWatch r="G35713"/>
    <cellWatch r="G35714"/>
    <cellWatch r="G35715"/>
    <cellWatch r="G35716"/>
    <cellWatch r="G35717"/>
    <cellWatch r="G35718"/>
    <cellWatch r="G35719"/>
    <cellWatch r="G35720"/>
    <cellWatch r="G35721"/>
    <cellWatch r="G35722"/>
    <cellWatch r="G35723"/>
    <cellWatch r="G35724"/>
    <cellWatch r="G35725"/>
    <cellWatch r="G35726"/>
    <cellWatch r="G35727"/>
    <cellWatch r="G35728"/>
    <cellWatch r="G35729"/>
    <cellWatch r="G35730"/>
    <cellWatch r="G35731"/>
    <cellWatch r="G35732"/>
    <cellWatch r="G35733"/>
    <cellWatch r="G35734"/>
    <cellWatch r="G35735"/>
    <cellWatch r="G35736"/>
    <cellWatch r="G35737"/>
    <cellWatch r="G35738"/>
    <cellWatch r="G35739"/>
    <cellWatch r="G35740"/>
    <cellWatch r="G35741"/>
    <cellWatch r="G35742"/>
    <cellWatch r="G35743"/>
    <cellWatch r="G35744"/>
    <cellWatch r="G35745"/>
    <cellWatch r="G35746"/>
    <cellWatch r="G35747"/>
    <cellWatch r="G35748"/>
    <cellWatch r="G35749"/>
    <cellWatch r="G35750"/>
    <cellWatch r="G35751"/>
    <cellWatch r="G35752"/>
    <cellWatch r="G35753"/>
    <cellWatch r="G35754"/>
    <cellWatch r="G35755"/>
    <cellWatch r="G35756"/>
    <cellWatch r="G35757"/>
    <cellWatch r="G35758"/>
    <cellWatch r="G35759"/>
    <cellWatch r="G35760"/>
    <cellWatch r="G35761"/>
    <cellWatch r="G35762"/>
    <cellWatch r="G35763"/>
    <cellWatch r="G35764"/>
    <cellWatch r="G35765"/>
    <cellWatch r="G35766"/>
    <cellWatch r="G35767"/>
    <cellWatch r="G35768"/>
    <cellWatch r="G35769"/>
    <cellWatch r="G35770"/>
    <cellWatch r="G35771"/>
    <cellWatch r="G35772"/>
    <cellWatch r="G35773"/>
    <cellWatch r="G35774"/>
    <cellWatch r="G35775"/>
    <cellWatch r="G35776"/>
    <cellWatch r="G35777"/>
    <cellWatch r="G35778"/>
    <cellWatch r="G35779"/>
    <cellWatch r="G35780"/>
    <cellWatch r="G35781"/>
    <cellWatch r="G35782"/>
    <cellWatch r="G35783"/>
    <cellWatch r="G35784"/>
    <cellWatch r="G35785"/>
    <cellWatch r="G35786"/>
    <cellWatch r="G35787"/>
    <cellWatch r="G35788"/>
    <cellWatch r="G35789"/>
    <cellWatch r="G35790"/>
    <cellWatch r="G35791"/>
    <cellWatch r="G35792"/>
    <cellWatch r="G35793"/>
    <cellWatch r="G35794"/>
    <cellWatch r="G35795"/>
    <cellWatch r="G35796"/>
    <cellWatch r="G35797"/>
    <cellWatch r="G35798"/>
    <cellWatch r="G35799"/>
    <cellWatch r="G35800"/>
    <cellWatch r="G35801"/>
    <cellWatch r="G35802"/>
    <cellWatch r="G35803"/>
    <cellWatch r="G35804"/>
    <cellWatch r="G35805"/>
    <cellWatch r="G35806"/>
    <cellWatch r="G35807"/>
    <cellWatch r="G35808"/>
    <cellWatch r="G35809"/>
    <cellWatch r="G35810"/>
    <cellWatch r="G35811"/>
    <cellWatch r="G35812"/>
    <cellWatch r="G35813"/>
    <cellWatch r="G35814"/>
    <cellWatch r="G35815"/>
    <cellWatch r="G35816"/>
    <cellWatch r="G35817"/>
    <cellWatch r="G35818"/>
    <cellWatch r="G35819"/>
    <cellWatch r="G35820"/>
    <cellWatch r="G35821"/>
    <cellWatch r="G35822"/>
    <cellWatch r="G35823"/>
    <cellWatch r="G35824"/>
    <cellWatch r="G35825"/>
    <cellWatch r="G35826"/>
    <cellWatch r="G35827"/>
    <cellWatch r="G35828"/>
    <cellWatch r="G35829"/>
    <cellWatch r="G35830"/>
    <cellWatch r="G35831"/>
    <cellWatch r="G35832"/>
    <cellWatch r="G35833"/>
    <cellWatch r="G35834"/>
    <cellWatch r="G35835"/>
    <cellWatch r="G35836"/>
    <cellWatch r="G35837"/>
    <cellWatch r="G35838"/>
    <cellWatch r="G35839"/>
    <cellWatch r="G35840"/>
    <cellWatch r="G35841"/>
    <cellWatch r="G35842"/>
    <cellWatch r="G35843"/>
    <cellWatch r="G35844"/>
    <cellWatch r="G35845"/>
    <cellWatch r="G35846"/>
    <cellWatch r="G35847"/>
    <cellWatch r="G35848"/>
    <cellWatch r="G35849"/>
    <cellWatch r="G35850"/>
    <cellWatch r="G35851"/>
    <cellWatch r="G35852"/>
    <cellWatch r="G35853"/>
    <cellWatch r="G35854"/>
    <cellWatch r="G35855"/>
    <cellWatch r="G35856"/>
    <cellWatch r="G35857"/>
    <cellWatch r="G35858"/>
    <cellWatch r="G35859"/>
    <cellWatch r="G35860"/>
    <cellWatch r="G35861"/>
    <cellWatch r="G35862"/>
    <cellWatch r="G35863"/>
    <cellWatch r="G35864"/>
    <cellWatch r="G35865"/>
    <cellWatch r="G35866"/>
    <cellWatch r="G35867"/>
    <cellWatch r="G35868"/>
    <cellWatch r="G35869"/>
    <cellWatch r="G35870"/>
    <cellWatch r="G35871"/>
    <cellWatch r="G35872"/>
    <cellWatch r="G35873"/>
    <cellWatch r="G35874"/>
    <cellWatch r="G35875"/>
    <cellWatch r="G35876"/>
    <cellWatch r="G35877"/>
    <cellWatch r="G35878"/>
    <cellWatch r="G35879"/>
    <cellWatch r="G35880"/>
    <cellWatch r="G35881"/>
    <cellWatch r="G35882"/>
    <cellWatch r="G35883"/>
    <cellWatch r="G35884"/>
    <cellWatch r="G35885"/>
    <cellWatch r="G35886"/>
    <cellWatch r="G35887"/>
    <cellWatch r="G35888"/>
    <cellWatch r="G35889"/>
    <cellWatch r="G35890"/>
    <cellWatch r="G35891"/>
    <cellWatch r="G35892"/>
    <cellWatch r="G35893"/>
    <cellWatch r="G35894"/>
    <cellWatch r="G35895"/>
    <cellWatch r="G35896"/>
    <cellWatch r="G35897"/>
    <cellWatch r="G35898"/>
    <cellWatch r="G35899"/>
    <cellWatch r="G35900"/>
    <cellWatch r="G35901"/>
    <cellWatch r="G35902"/>
    <cellWatch r="G35903"/>
    <cellWatch r="G35904"/>
    <cellWatch r="G35905"/>
    <cellWatch r="G35906"/>
    <cellWatch r="G35907"/>
    <cellWatch r="G35908"/>
    <cellWatch r="G35909"/>
    <cellWatch r="G35910"/>
    <cellWatch r="G35911"/>
    <cellWatch r="G35912"/>
    <cellWatch r="G35913"/>
    <cellWatch r="G35914"/>
    <cellWatch r="G35915"/>
    <cellWatch r="G35916"/>
    <cellWatch r="G35917"/>
    <cellWatch r="G35918"/>
    <cellWatch r="G35919"/>
    <cellWatch r="G35920"/>
    <cellWatch r="G35921"/>
    <cellWatch r="G35922"/>
    <cellWatch r="G35923"/>
    <cellWatch r="G35924"/>
    <cellWatch r="G35925"/>
    <cellWatch r="G35926"/>
    <cellWatch r="G35927"/>
    <cellWatch r="G35928"/>
    <cellWatch r="G35929"/>
    <cellWatch r="G35930"/>
    <cellWatch r="G35931"/>
    <cellWatch r="G35932"/>
    <cellWatch r="G35933"/>
    <cellWatch r="G35934"/>
    <cellWatch r="G35935"/>
    <cellWatch r="G35936"/>
    <cellWatch r="G35937"/>
    <cellWatch r="G35938"/>
    <cellWatch r="G35939"/>
    <cellWatch r="G35940"/>
    <cellWatch r="G35941"/>
    <cellWatch r="G35942"/>
    <cellWatch r="G35943"/>
    <cellWatch r="G35944"/>
    <cellWatch r="G35945"/>
    <cellWatch r="G35946"/>
    <cellWatch r="G35947"/>
    <cellWatch r="G35948"/>
    <cellWatch r="G35949"/>
    <cellWatch r="G35950"/>
    <cellWatch r="G35951"/>
    <cellWatch r="G35952"/>
    <cellWatch r="G35953"/>
    <cellWatch r="G35954"/>
    <cellWatch r="G35955"/>
    <cellWatch r="G35956"/>
    <cellWatch r="G35957"/>
    <cellWatch r="G35958"/>
    <cellWatch r="G35959"/>
    <cellWatch r="G35960"/>
    <cellWatch r="G35961"/>
    <cellWatch r="G35962"/>
    <cellWatch r="G35963"/>
    <cellWatch r="G35964"/>
    <cellWatch r="G35965"/>
    <cellWatch r="G35966"/>
    <cellWatch r="G35967"/>
    <cellWatch r="G35968"/>
    <cellWatch r="G35969"/>
    <cellWatch r="G35970"/>
    <cellWatch r="G35971"/>
    <cellWatch r="G35972"/>
    <cellWatch r="G35973"/>
    <cellWatch r="G35974"/>
    <cellWatch r="G35975"/>
    <cellWatch r="G35976"/>
    <cellWatch r="G35977"/>
    <cellWatch r="G35978"/>
    <cellWatch r="G35979"/>
    <cellWatch r="G35980"/>
    <cellWatch r="G35981"/>
    <cellWatch r="G35982"/>
    <cellWatch r="G35983"/>
    <cellWatch r="G35984"/>
    <cellWatch r="G35985"/>
    <cellWatch r="G35986"/>
    <cellWatch r="G35987"/>
    <cellWatch r="G35988"/>
    <cellWatch r="G35989"/>
    <cellWatch r="G35990"/>
    <cellWatch r="G35991"/>
    <cellWatch r="G35992"/>
    <cellWatch r="G35993"/>
    <cellWatch r="G35994"/>
    <cellWatch r="G35995"/>
    <cellWatch r="G35996"/>
    <cellWatch r="G35997"/>
    <cellWatch r="G35998"/>
    <cellWatch r="G35999"/>
    <cellWatch r="G36000"/>
    <cellWatch r="G36001"/>
    <cellWatch r="G36002"/>
    <cellWatch r="G36003"/>
    <cellWatch r="G36004"/>
    <cellWatch r="G36005"/>
    <cellWatch r="G36006"/>
    <cellWatch r="G36007"/>
    <cellWatch r="G36008"/>
    <cellWatch r="G36009"/>
    <cellWatch r="G36010"/>
    <cellWatch r="G36011"/>
    <cellWatch r="G36012"/>
    <cellWatch r="G36013"/>
    <cellWatch r="G36014"/>
    <cellWatch r="G36015"/>
    <cellWatch r="G36016"/>
    <cellWatch r="G36017"/>
    <cellWatch r="G36018"/>
    <cellWatch r="G36019"/>
    <cellWatch r="G36020"/>
    <cellWatch r="G36021"/>
    <cellWatch r="G36022"/>
    <cellWatch r="G36023"/>
    <cellWatch r="G36024"/>
    <cellWatch r="G36025"/>
    <cellWatch r="G36026"/>
    <cellWatch r="G36027"/>
    <cellWatch r="G36028"/>
    <cellWatch r="G36029"/>
    <cellWatch r="G36030"/>
    <cellWatch r="G36031"/>
    <cellWatch r="G36032"/>
    <cellWatch r="G36033"/>
    <cellWatch r="G36034"/>
    <cellWatch r="G36035"/>
    <cellWatch r="G36036"/>
    <cellWatch r="G36037"/>
    <cellWatch r="G36038"/>
    <cellWatch r="G36039"/>
    <cellWatch r="G36040"/>
    <cellWatch r="G36041"/>
    <cellWatch r="G36042"/>
    <cellWatch r="G36043"/>
    <cellWatch r="G36044"/>
    <cellWatch r="G36045"/>
    <cellWatch r="G36046"/>
    <cellWatch r="G36047"/>
    <cellWatch r="G36048"/>
    <cellWatch r="G36049"/>
    <cellWatch r="G36050"/>
    <cellWatch r="G36051"/>
    <cellWatch r="G36052"/>
    <cellWatch r="G36053"/>
    <cellWatch r="G36054"/>
    <cellWatch r="G36055"/>
    <cellWatch r="G36056"/>
    <cellWatch r="G36057"/>
    <cellWatch r="G36058"/>
    <cellWatch r="G36059"/>
    <cellWatch r="G36060"/>
    <cellWatch r="G36061"/>
    <cellWatch r="G36062"/>
    <cellWatch r="G36063"/>
    <cellWatch r="G36064"/>
    <cellWatch r="G36065"/>
    <cellWatch r="G36066"/>
    <cellWatch r="G36067"/>
    <cellWatch r="G36068"/>
    <cellWatch r="G36069"/>
    <cellWatch r="G36070"/>
    <cellWatch r="G36071"/>
    <cellWatch r="G36072"/>
    <cellWatch r="G36073"/>
    <cellWatch r="G36074"/>
    <cellWatch r="G36075"/>
    <cellWatch r="G36076"/>
    <cellWatch r="G36077"/>
    <cellWatch r="G36078"/>
    <cellWatch r="G36079"/>
    <cellWatch r="G36080"/>
    <cellWatch r="G36081"/>
    <cellWatch r="G36082"/>
    <cellWatch r="G36083"/>
    <cellWatch r="G36084"/>
    <cellWatch r="G36085"/>
    <cellWatch r="G36086"/>
    <cellWatch r="G36087"/>
    <cellWatch r="G36088"/>
    <cellWatch r="G36089"/>
    <cellWatch r="G36090"/>
    <cellWatch r="G36091"/>
    <cellWatch r="G36092"/>
    <cellWatch r="G36093"/>
    <cellWatch r="G36094"/>
    <cellWatch r="G36095"/>
    <cellWatch r="G36096"/>
    <cellWatch r="G36097"/>
    <cellWatch r="G36098"/>
    <cellWatch r="G36099"/>
    <cellWatch r="G36100"/>
    <cellWatch r="G36101"/>
    <cellWatch r="G36102"/>
    <cellWatch r="G36103"/>
    <cellWatch r="G36104"/>
    <cellWatch r="G36105"/>
    <cellWatch r="G36106"/>
    <cellWatch r="G36107"/>
    <cellWatch r="G36108"/>
    <cellWatch r="G36109"/>
    <cellWatch r="G36110"/>
    <cellWatch r="G36111"/>
    <cellWatch r="G36112"/>
    <cellWatch r="G36113"/>
    <cellWatch r="G36114"/>
    <cellWatch r="G36115"/>
    <cellWatch r="G36116"/>
    <cellWatch r="G36117"/>
    <cellWatch r="G36118"/>
    <cellWatch r="G36119"/>
    <cellWatch r="G36120"/>
    <cellWatch r="G36121"/>
    <cellWatch r="G36122"/>
    <cellWatch r="G36123"/>
    <cellWatch r="G36124"/>
    <cellWatch r="G36125"/>
    <cellWatch r="G36126"/>
    <cellWatch r="G36127"/>
    <cellWatch r="G36128"/>
    <cellWatch r="G36129"/>
    <cellWatch r="G36130"/>
    <cellWatch r="G36131"/>
    <cellWatch r="G36132"/>
    <cellWatch r="G36133"/>
    <cellWatch r="G36134"/>
    <cellWatch r="G36135"/>
    <cellWatch r="G36136"/>
    <cellWatch r="G36137"/>
    <cellWatch r="G36138"/>
    <cellWatch r="G36139"/>
    <cellWatch r="G36140"/>
    <cellWatch r="G36141"/>
    <cellWatch r="G36142"/>
    <cellWatch r="G36143"/>
    <cellWatch r="G36144"/>
    <cellWatch r="G36145"/>
    <cellWatch r="G36146"/>
    <cellWatch r="G36147"/>
    <cellWatch r="G36148"/>
    <cellWatch r="G36149"/>
    <cellWatch r="G36150"/>
    <cellWatch r="G36151"/>
    <cellWatch r="G36152"/>
    <cellWatch r="G36153"/>
    <cellWatch r="G36154"/>
    <cellWatch r="G36155"/>
    <cellWatch r="G36156"/>
    <cellWatch r="G36157"/>
    <cellWatch r="G36158"/>
    <cellWatch r="G36159"/>
    <cellWatch r="G36160"/>
    <cellWatch r="G36161"/>
    <cellWatch r="G36162"/>
    <cellWatch r="G36163"/>
    <cellWatch r="G36164"/>
    <cellWatch r="G36165"/>
    <cellWatch r="G36166"/>
    <cellWatch r="G36167"/>
    <cellWatch r="G36168"/>
    <cellWatch r="G36169"/>
    <cellWatch r="G36170"/>
    <cellWatch r="G36171"/>
    <cellWatch r="G36172"/>
    <cellWatch r="G36173"/>
    <cellWatch r="G36174"/>
    <cellWatch r="G36175"/>
    <cellWatch r="G36176"/>
    <cellWatch r="G36177"/>
    <cellWatch r="G36178"/>
    <cellWatch r="G36179"/>
    <cellWatch r="G36180"/>
    <cellWatch r="G36181"/>
    <cellWatch r="G36182"/>
    <cellWatch r="G36183"/>
    <cellWatch r="G36184"/>
    <cellWatch r="G36185"/>
    <cellWatch r="G36186"/>
    <cellWatch r="G36187"/>
    <cellWatch r="G36188"/>
    <cellWatch r="G36189"/>
    <cellWatch r="G36190"/>
    <cellWatch r="G36191"/>
    <cellWatch r="G36192"/>
    <cellWatch r="G36193"/>
    <cellWatch r="G36194"/>
    <cellWatch r="G36195"/>
    <cellWatch r="G36196"/>
    <cellWatch r="G36197"/>
    <cellWatch r="G36198"/>
    <cellWatch r="G36199"/>
    <cellWatch r="G36200"/>
    <cellWatch r="G36201"/>
    <cellWatch r="G36202"/>
    <cellWatch r="G36203"/>
    <cellWatch r="G36204"/>
    <cellWatch r="G36205"/>
    <cellWatch r="G36206"/>
    <cellWatch r="G36207"/>
    <cellWatch r="G36208"/>
    <cellWatch r="G36209"/>
    <cellWatch r="G36210"/>
    <cellWatch r="G36211"/>
    <cellWatch r="G36212"/>
    <cellWatch r="G36213"/>
    <cellWatch r="G36214"/>
    <cellWatch r="G36215"/>
    <cellWatch r="G36216"/>
    <cellWatch r="G36217"/>
    <cellWatch r="G36218"/>
    <cellWatch r="G36219"/>
    <cellWatch r="G36220"/>
    <cellWatch r="G36221"/>
    <cellWatch r="G36222"/>
    <cellWatch r="G36223"/>
    <cellWatch r="G36224"/>
    <cellWatch r="G36225"/>
    <cellWatch r="G36226"/>
    <cellWatch r="G36227"/>
    <cellWatch r="G36228"/>
    <cellWatch r="G36229"/>
    <cellWatch r="G36230"/>
    <cellWatch r="G36231"/>
    <cellWatch r="G36232"/>
    <cellWatch r="G36233"/>
    <cellWatch r="G36234"/>
    <cellWatch r="G36235"/>
    <cellWatch r="G36236"/>
    <cellWatch r="G36237"/>
    <cellWatch r="G36238"/>
    <cellWatch r="G36239"/>
    <cellWatch r="G36240"/>
    <cellWatch r="G36241"/>
    <cellWatch r="G36242"/>
    <cellWatch r="G36243"/>
    <cellWatch r="G36244"/>
    <cellWatch r="G36245"/>
    <cellWatch r="G36246"/>
    <cellWatch r="G36247"/>
    <cellWatch r="G36248"/>
    <cellWatch r="G36249"/>
    <cellWatch r="G36250"/>
    <cellWatch r="G36251"/>
    <cellWatch r="G36252"/>
    <cellWatch r="G36253"/>
    <cellWatch r="G36254"/>
    <cellWatch r="G36255"/>
    <cellWatch r="G36256"/>
    <cellWatch r="G36257"/>
    <cellWatch r="G36258"/>
    <cellWatch r="G36259"/>
    <cellWatch r="G36260"/>
    <cellWatch r="G36261"/>
    <cellWatch r="G36262"/>
    <cellWatch r="G36263"/>
    <cellWatch r="G36264"/>
    <cellWatch r="G36265"/>
    <cellWatch r="G36266"/>
    <cellWatch r="G36267"/>
    <cellWatch r="G36268"/>
    <cellWatch r="G36269"/>
    <cellWatch r="G36270"/>
    <cellWatch r="G36271"/>
    <cellWatch r="G36272"/>
    <cellWatch r="G36273"/>
    <cellWatch r="G36274"/>
    <cellWatch r="G36275"/>
    <cellWatch r="G36276"/>
    <cellWatch r="G36277"/>
    <cellWatch r="G36278"/>
    <cellWatch r="G36279"/>
    <cellWatch r="G36280"/>
    <cellWatch r="G36281"/>
    <cellWatch r="G36282"/>
    <cellWatch r="G36283"/>
    <cellWatch r="G36284"/>
    <cellWatch r="G36285"/>
    <cellWatch r="G36286"/>
    <cellWatch r="G36287"/>
    <cellWatch r="G36288"/>
    <cellWatch r="G36289"/>
    <cellWatch r="G36290"/>
    <cellWatch r="G36291"/>
    <cellWatch r="G36292"/>
    <cellWatch r="G36293"/>
    <cellWatch r="G36294"/>
    <cellWatch r="G36295"/>
    <cellWatch r="G36296"/>
    <cellWatch r="G36297"/>
    <cellWatch r="G36298"/>
    <cellWatch r="G36299"/>
    <cellWatch r="G36300"/>
    <cellWatch r="G36301"/>
    <cellWatch r="G36302"/>
    <cellWatch r="G36303"/>
    <cellWatch r="G36304"/>
    <cellWatch r="G36305"/>
    <cellWatch r="G36306"/>
    <cellWatch r="G36307"/>
    <cellWatch r="G36308"/>
    <cellWatch r="G36309"/>
    <cellWatch r="G36310"/>
    <cellWatch r="G36311"/>
    <cellWatch r="G36312"/>
    <cellWatch r="G36313"/>
    <cellWatch r="G36314"/>
    <cellWatch r="G36315"/>
    <cellWatch r="G36316"/>
    <cellWatch r="G36317"/>
    <cellWatch r="G36318"/>
    <cellWatch r="G36319"/>
    <cellWatch r="G36320"/>
    <cellWatch r="G36321"/>
    <cellWatch r="G36322"/>
    <cellWatch r="G36323"/>
    <cellWatch r="G36324"/>
    <cellWatch r="G36325"/>
    <cellWatch r="G36326"/>
    <cellWatch r="G36327"/>
    <cellWatch r="G36328"/>
    <cellWatch r="G36329"/>
    <cellWatch r="G36330"/>
    <cellWatch r="G36331"/>
    <cellWatch r="G36332"/>
    <cellWatch r="G36333"/>
    <cellWatch r="G36334"/>
    <cellWatch r="G36335"/>
    <cellWatch r="G36336"/>
    <cellWatch r="G36337"/>
    <cellWatch r="G36338"/>
    <cellWatch r="G36339"/>
    <cellWatch r="G36340"/>
    <cellWatch r="G36341"/>
    <cellWatch r="G36342"/>
    <cellWatch r="G36343"/>
    <cellWatch r="G36344"/>
    <cellWatch r="G36345"/>
    <cellWatch r="G36346"/>
    <cellWatch r="G36347"/>
    <cellWatch r="G36348"/>
    <cellWatch r="G36349"/>
    <cellWatch r="G36350"/>
    <cellWatch r="G36351"/>
    <cellWatch r="G36352"/>
    <cellWatch r="G36353"/>
    <cellWatch r="G36354"/>
    <cellWatch r="G36355"/>
    <cellWatch r="G36356"/>
    <cellWatch r="G36357"/>
    <cellWatch r="G36358"/>
    <cellWatch r="G36359"/>
    <cellWatch r="G36360"/>
    <cellWatch r="G36361"/>
    <cellWatch r="G36362"/>
    <cellWatch r="G36363"/>
    <cellWatch r="G36364"/>
    <cellWatch r="G36365"/>
    <cellWatch r="G36366"/>
    <cellWatch r="G36367"/>
    <cellWatch r="G36368"/>
    <cellWatch r="G36369"/>
    <cellWatch r="G36370"/>
    <cellWatch r="G36371"/>
    <cellWatch r="G36372"/>
    <cellWatch r="G36373"/>
    <cellWatch r="G36374"/>
    <cellWatch r="G36375"/>
    <cellWatch r="G36376"/>
    <cellWatch r="G36377"/>
    <cellWatch r="G36378"/>
    <cellWatch r="G36379"/>
    <cellWatch r="G36380"/>
    <cellWatch r="G36381"/>
    <cellWatch r="G36382"/>
    <cellWatch r="G36383"/>
    <cellWatch r="G36384"/>
    <cellWatch r="G36385"/>
    <cellWatch r="G36386"/>
    <cellWatch r="G36387"/>
    <cellWatch r="G36388"/>
    <cellWatch r="G36389"/>
    <cellWatch r="G36390"/>
    <cellWatch r="G36391"/>
    <cellWatch r="G36392"/>
    <cellWatch r="G36393"/>
    <cellWatch r="G36394"/>
    <cellWatch r="G36395"/>
    <cellWatch r="G36396"/>
    <cellWatch r="G36397"/>
    <cellWatch r="G36398"/>
    <cellWatch r="G36399"/>
    <cellWatch r="G36400"/>
    <cellWatch r="G36401"/>
    <cellWatch r="G36402"/>
    <cellWatch r="G36403"/>
    <cellWatch r="G36404"/>
    <cellWatch r="G36405"/>
    <cellWatch r="G36406"/>
    <cellWatch r="G36407"/>
    <cellWatch r="G36408"/>
    <cellWatch r="G36409"/>
    <cellWatch r="G36410"/>
    <cellWatch r="G36411"/>
    <cellWatch r="G36412"/>
    <cellWatch r="G36413"/>
    <cellWatch r="G36414"/>
    <cellWatch r="G36415"/>
    <cellWatch r="G36416"/>
    <cellWatch r="G36417"/>
    <cellWatch r="G36418"/>
    <cellWatch r="G36419"/>
    <cellWatch r="G36420"/>
    <cellWatch r="G36421"/>
    <cellWatch r="G36422"/>
    <cellWatch r="G36423"/>
    <cellWatch r="G36424"/>
    <cellWatch r="G36425"/>
    <cellWatch r="G36426"/>
    <cellWatch r="G36427"/>
    <cellWatch r="G36428"/>
    <cellWatch r="G36429"/>
    <cellWatch r="G36430"/>
    <cellWatch r="G36431"/>
    <cellWatch r="G36432"/>
    <cellWatch r="G36433"/>
    <cellWatch r="G36434"/>
    <cellWatch r="G36435"/>
    <cellWatch r="G36436"/>
    <cellWatch r="G36437"/>
    <cellWatch r="G36438"/>
    <cellWatch r="G36439"/>
    <cellWatch r="G36440"/>
    <cellWatch r="G36441"/>
    <cellWatch r="G36442"/>
    <cellWatch r="G36443"/>
    <cellWatch r="G36444"/>
    <cellWatch r="G36445"/>
    <cellWatch r="G36446"/>
    <cellWatch r="G36447"/>
    <cellWatch r="G36448"/>
    <cellWatch r="G36449"/>
    <cellWatch r="G36450"/>
    <cellWatch r="G36451"/>
    <cellWatch r="G36452"/>
    <cellWatch r="G36453"/>
    <cellWatch r="G36454"/>
    <cellWatch r="G36455"/>
    <cellWatch r="G36456"/>
    <cellWatch r="G36457"/>
    <cellWatch r="G36458"/>
    <cellWatch r="G36459"/>
    <cellWatch r="G36460"/>
    <cellWatch r="G36461"/>
    <cellWatch r="G36462"/>
    <cellWatch r="G36463"/>
    <cellWatch r="G36464"/>
    <cellWatch r="G36465"/>
    <cellWatch r="G36466"/>
    <cellWatch r="G36467"/>
    <cellWatch r="G36468"/>
    <cellWatch r="G36469"/>
    <cellWatch r="G36470"/>
    <cellWatch r="G36471"/>
    <cellWatch r="G36472"/>
    <cellWatch r="G36473"/>
    <cellWatch r="G36474"/>
    <cellWatch r="G36475"/>
    <cellWatch r="G36476"/>
    <cellWatch r="G36477"/>
    <cellWatch r="G36478"/>
    <cellWatch r="G36479"/>
    <cellWatch r="G36480"/>
    <cellWatch r="G36481"/>
    <cellWatch r="G36482"/>
    <cellWatch r="G36483"/>
    <cellWatch r="G36484"/>
    <cellWatch r="G36485"/>
    <cellWatch r="G36486"/>
    <cellWatch r="G36487"/>
    <cellWatch r="G36488"/>
    <cellWatch r="G36489"/>
    <cellWatch r="G36490"/>
    <cellWatch r="G36491"/>
    <cellWatch r="G36492"/>
    <cellWatch r="G36493"/>
    <cellWatch r="G36494"/>
    <cellWatch r="G36495"/>
    <cellWatch r="G36496"/>
    <cellWatch r="G36497"/>
    <cellWatch r="G36498"/>
    <cellWatch r="G36499"/>
    <cellWatch r="G36500"/>
    <cellWatch r="G36501"/>
    <cellWatch r="G36502"/>
    <cellWatch r="G36503"/>
    <cellWatch r="G36504"/>
    <cellWatch r="G36505"/>
    <cellWatch r="G36506"/>
    <cellWatch r="G36507"/>
    <cellWatch r="G36508"/>
    <cellWatch r="G36509"/>
    <cellWatch r="G36510"/>
    <cellWatch r="G36511"/>
    <cellWatch r="G36512"/>
    <cellWatch r="G36513"/>
    <cellWatch r="G36514"/>
    <cellWatch r="G36515"/>
    <cellWatch r="G36516"/>
    <cellWatch r="G36517"/>
    <cellWatch r="G36518"/>
    <cellWatch r="G36519"/>
    <cellWatch r="G36520"/>
    <cellWatch r="G36521"/>
    <cellWatch r="G36522"/>
    <cellWatch r="G36523"/>
    <cellWatch r="G36524"/>
    <cellWatch r="G36525"/>
    <cellWatch r="G36526"/>
    <cellWatch r="G36527"/>
    <cellWatch r="G36528"/>
    <cellWatch r="G36529"/>
    <cellWatch r="G36530"/>
    <cellWatch r="G36531"/>
    <cellWatch r="G36532"/>
    <cellWatch r="G36533"/>
    <cellWatch r="G36534"/>
    <cellWatch r="G36535"/>
    <cellWatch r="G36536"/>
    <cellWatch r="G36537"/>
    <cellWatch r="G36538"/>
    <cellWatch r="G36539"/>
    <cellWatch r="G36540"/>
    <cellWatch r="G36541"/>
    <cellWatch r="G36542"/>
    <cellWatch r="G36543"/>
    <cellWatch r="G36544"/>
    <cellWatch r="G36545"/>
    <cellWatch r="G36546"/>
    <cellWatch r="G36547"/>
    <cellWatch r="G36548"/>
    <cellWatch r="G36549"/>
    <cellWatch r="G36550"/>
    <cellWatch r="G36551"/>
    <cellWatch r="G36552"/>
    <cellWatch r="G36553"/>
    <cellWatch r="G36554"/>
    <cellWatch r="G36555"/>
    <cellWatch r="G36556"/>
    <cellWatch r="G36557"/>
    <cellWatch r="G36558"/>
    <cellWatch r="G36559"/>
    <cellWatch r="G36560"/>
    <cellWatch r="G36561"/>
    <cellWatch r="G36562"/>
    <cellWatch r="G36563"/>
    <cellWatch r="G36564"/>
    <cellWatch r="G36565"/>
    <cellWatch r="G36566"/>
    <cellWatch r="G36567"/>
    <cellWatch r="G36568"/>
    <cellWatch r="G36569"/>
    <cellWatch r="G36570"/>
    <cellWatch r="G36571"/>
    <cellWatch r="G36572"/>
    <cellWatch r="G36573"/>
    <cellWatch r="G36574"/>
    <cellWatch r="G36575"/>
    <cellWatch r="G36576"/>
    <cellWatch r="G36577"/>
    <cellWatch r="G36578"/>
    <cellWatch r="G36579"/>
    <cellWatch r="G36580"/>
    <cellWatch r="G36581"/>
    <cellWatch r="G36582"/>
    <cellWatch r="G36583"/>
    <cellWatch r="G36584"/>
    <cellWatch r="G36585"/>
    <cellWatch r="G36586"/>
    <cellWatch r="G36587"/>
    <cellWatch r="G36588"/>
    <cellWatch r="G36589"/>
    <cellWatch r="G36590"/>
    <cellWatch r="G36591"/>
    <cellWatch r="G36592"/>
    <cellWatch r="G36593"/>
    <cellWatch r="G36594"/>
    <cellWatch r="G36595"/>
    <cellWatch r="G36596"/>
    <cellWatch r="G36597"/>
    <cellWatch r="G36598"/>
    <cellWatch r="G36599"/>
    <cellWatch r="G36600"/>
    <cellWatch r="G36601"/>
    <cellWatch r="G36602"/>
    <cellWatch r="G36603"/>
    <cellWatch r="G36604"/>
    <cellWatch r="G36605"/>
    <cellWatch r="G36606"/>
    <cellWatch r="G36607"/>
    <cellWatch r="G36608"/>
    <cellWatch r="G36609"/>
    <cellWatch r="G36610"/>
    <cellWatch r="G36611"/>
    <cellWatch r="G36612"/>
    <cellWatch r="G36613"/>
    <cellWatch r="G36614"/>
    <cellWatch r="G36615"/>
    <cellWatch r="G36616"/>
    <cellWatch r="G36617"/>
    <cellWatch r="G36618"/>
    <cellWatch r="G36619"/>
    <cellWatch r="G36620"/>
    <cellWatch r="G36621"/>
    <cellWatch r="G36622"/>
    <cellWatch r="G36623"/>
    <cellWatch r="G36624"/>
    <cellWatch r="G36625"/>
    <cellWatch r="G36626"/>
    <cellWatch r="G36627"/>
    <cellWatch r="G36628"/>
    <cellWatch r="G36629"/>
    <cellWatch r="G36630"/>
    <cellWatch r="G36631"/>
    <cellWatch r="G36632"/>
    <cellWatch r="G36633"/>
    <cellWatch r="G36634"/>
    <cellWatch r="G36635"/>
    <cellWatch r="G36636"/>
    <cellWatch r="G36637"/>
    <cellWatch r="G36638"/>
    <cellWatch r="G36639"/>
    <cellWatch r="G36640"/>
    <cellWatch r="G36641"/>
    <cellWatch r="G36642"/>
    <cellWatch r="G36643"/>
    <cellWatch r="G36644"/>
    <cellWatch r="G36645"/>
    <cellWatch r="G36646"/>
    <cellWatch r="G36647"/>
    <cellWatch r="G36648"/>
    <cellWatch r="G36649"/>
    <cellWatch r="G36650"/>
    <cellWatch r="G36651"/>
    <cellWatch r="G36652"/>
    <cellWatch r="G36653"/>
    <cellWatch r="G36654"/>
    <cellWatch r="G36655"/>
    <cellWatch r="G36656"/>
    <cellWatch r="G36657"/>
    <cellWatch r="G36658"/>
    <cellWatch r="G36659"/>
    <cellWatch r="G36660"/>
    <cellWatch r="G36661"/>
    <cellWatch r="G36662"/>
    <cellWatch r="G36663"/>
    <cellWatch r="G36664"/>
    <cellWatch r="G36665"/>
    <cellWatch r="G36666"/>
    <cellWatch r="G36667"/>
    <cellWatch r="G36668"/>
    <cellWatch r="G36669"/>
    <cellWatch r="G36670"/>
    <cellWatch r="G36671"/>
    <cellWatch r="G36672"/>
    <cellWatch r="G36673"/>
    <cellWatch r="G36674"/>
    <cellWatch r="G36675"/>
    <cellWatch r="G36676"/>
    <cellWatch r="G36677"/>
    <cellWatch r="G36678"/>
    <cellWatch r="G36679"/>
    <cellWatch r="G36680"/>
    <cellWatch r="G36681"/>
    <cellWatch r="G36682"/>
    <cellWatch r="G36683"/>
    <cellWatch r="G36684"/>
    <cellWatch r="G36685"/>
    <cellWatch r="G36686"/>
    <cellWatch r="G36687"/>
    <cellWatch r="G36688"/>
    <cellWatch r="G36689"/>
    <cellWatch r="G36690"/>
    <cellWatch r="G36691"/>
    <cellWatch r="G36692"/>
    <cellWatch r="G36693"/>
    <cellWatch r="G36694"/>
    <cellWatch r="G36695"/>
    <cellWatch r="G36696"/>
    <cellWatch r="G36697"/>
    <cellWatch r="G36698"/>
    <cellWatch r="G36699"/>
    <cellWatch r="G36700"/>
    <cellWatch r="G36701"/>
    <cellWatch r="G36702"/>
    <cellWatch r="G36703"/>
    <cellWatch r="G36704"/>
    <cellWatch r="G36705"/>
    <cellWatch r="G36706"/>
    <cellWatch r="G36707"/>
    <cellWatch r="G36708"/>
    <cellWatch r="G36709"/>
    <cellWatch r="G36710"/>
    <cellWatch r="G36711"/>
    <cellWatch r="G36712"/>
    <cellWatch r="G36713"/>
    <cellWatch r="G36714"/>
    <cellWatch r="G36715"/>
    <cellWatch r="G36716"/>
    <cellWatch r="G36717"/>
    <cellWatch r="G36718"/>
    <cellWatch r="G36719"/>
    <cellWatch r="G36720"/>
    <cellWatch r="G36721"/>
    <cellWatch r="G36722"/>
    <cellWatch r="G36723"/>
    <cellWatch r="G36724"/>
    <cellWatch r="G36725"/>
    <cellWatch r="G36726"/>
    <cellWatch r="G36727"/>
    <cellWatch r="G36728"/>
    <cellWatch r="G36729"/>
    <cellWatch r="G36730"/>
    <cellWatch r="G36731"/>
    <cellWatch r="G36732"/>
    <cellWatch r="G36733"/>
    <cellWatch r="G36734"/>
    <cellWatch r="G36735"/>
    <cellWatch r="G36736"/>
    <cellWatch r="G36737"/>
    <cellWatch r="G36738"/>
    <cellWatch r="G36739"/>
    <cellWatch r="G36740"/>
    <cellWatch r="G36741"/>
    <cellWatch r="G36742"/>
    <cellWatch r="G36743"/>
    <cellWatch r="G36744"/>
    <cellWatch r="G36745"/>
    <cellWatch r="G36746"/>
    <cellWatch r="G36747"/>
    <cellWatch r="G36748"/>
    <cellWatch r="G36749"/>
    <cellWatch r="G36750"/>
    <cellWatch r="G36751"/>
    <cellWatch r="G36752"/>
    <cellWatch r="G36753"/>
    <cellWatch r="G36754"/>
    <cellWatch r="G36755"/>
    <cellWatch r="G36756"/>
    <cellWatch r="G36757"/>
    <cellWatch r="G36758"/>
    <cellWatch r="G36759"/>
    <cellWatch r="G36760"/>
    <cellWatch r="G36761"/>
    <cellWatch r="G36762"/>
    <cellWatch r="G36763"/>
    <cellWatch r="G36764"/>
    <cellWatch r="G36765"/>
    <cellWatch r="G36766"/>
    <cellWatch r="G36767"/>
    <cellWatch r="G36768"/>
    <cellWatch r="G36769"/>
    <cellWatch r="G36770"/>
    <cellWatch r="G36771"/>
    <cellWatch r="G36772"/>
    <cellWatch r="G36773"/>
    <cellWatch r="G36774"/>
    <cellWatch r="G36775"/>
    <cellWatch r="G36776"/>
    <cellWatch r="G36777"/>
    <cellWatch r="G36778"/>
    <cellWatch r="G36779"/>
    <cellWatch r="G36780"/>
    <cellWatch r="G36781"/>
    <cellWatch r="G36782"/>
    <cellWatch r="G36783"/>
    <cellWatch r="G36784"/>
    <cellWatch r="G36785"/>
    <cellWatch r="G36786"/>
    <cellWatch r="G36787"/>
    <cellWatch r="G36788"/>
    <cellWatch r="G36789"/>
    <cellWatch r="G36790"/>
    <cellWatch r="G36791"/>
    <cellWatch r="G36792"/>
    <cellWatch r="G36793"/>
    <cellWatch r="G36794"/>
    <cellWatch r="G36795"/>
    <cellWatch r="G36796"/>
    <cellWatch r="G36797"/>
    <cellWatch r="G36798"/>
    <cellWatch r="G36799"/>
    <cellWatch r="G36800"/>
    <cellWatch r="G36801"/>
    <cellWatch r="G36802"/>
    <cellWatch r="G36803"/>
    <cellWatch r="G36804"/>
    <cellWatch r="G36805"/>
    <cellWatch r="G36806"/>
    <cellWatch r="G36807"/>
    <cellWatch r="G36808"/>
    <cellWatch r="G36809"/>
    <cellWatch r="G36810"/>
    <cellWatch r="G36811"/>
    <cellWatch r="G36812"/>
    <cellWatch r="G36813"/>
    <cellWatch r="G36814"/>
    <cellWatch r="G36815"/>
    <cellWatch r="G36816"/>
    <cellWatch r="G36817"/>
    <cellWatch r="G36818"/>
    <cellWatch r="G36819"/>
    <cellWatch r="G36820"/>
    <cellWatch r="G36821"/>
    <cellWatch r="G36822"/>
    <cellWatch r="G36823"/>
    <cellWatch r="G36824"/>
    <cellWatch r="G36825"/>
    <cellWatch r="G36826"/>
    <cellWatch r="G36827"/>
    <cellWatch r="G36828"/>
    <cellWatch r="G36829"/>
    <cellWatch r="G36830"/>
    <cellWatch r="G36831"/>
    <cellWatch r="G36832"/>
    <cellWatch r="G36833"/>
    <cellWatch r="G36834"/>
    <cellWatch r="G36835"/>
    <cellWatch r="G36836"/>
    <cellWatch r="G36837"/>
    <cellWatch r="G36838"/>
    <cellWatch r="G36839"/>
    <cellWatch r="G36840"/>
    <cellWatch r="G36841"/>
    <cellWatch r="G36842"/>
    <cellWatch r="G36843"/>
    <cellWatch r="G36844"/>
    <cellWatch r="G36845"/>
    <cellWatch r="G36846"/>
    <cellWatch r="G36847"/>
    <cellWatch r="G36848"/>
    <cellWatch r="G36849"/>
    <cellWatch r="G36850"/>
    <cellWatch r="G36851"/>
    <cellWatch r="G36852"/>
    <cellWatch r="G36853"/>
    <cellWatch r="G36854"/>
    <cellWatch r="G36855"/>
    <cellWatch r="G36856"/>
    <cellWatch r="G36857"/>
    <cellWatch r="G36858"/>
    <cellWatch r="G36859"/>
    <cellWatch r="G36860"/>
    <cellWatch r="G36861"/>
    <cellWatch r="G36862"/>
    <cellWatch r="G36863"/>
    <cellWatch r="G36864"/>
    <cellWatch r="G36865"/>
    <cellWatch r="G36866"/>
    <cellWatch r="G36867"/>
    <cellWatch r="G36868"/>
    <cellWatch r="G36869"/>
    <cellWatch r="G36870"/>
    <cellWatch r="G36871"/>
    <cellWatch r="G36872"/>
    <cellWatch r="G36873"/>
    <cellWatch r="G36874"/>
    <cellWatch r="G36875"/>
    <cellWatch r="G36876"/>
    <cellWatch r="G36877"/>
    <cellWatch r="G36878"/>
    <cellWatch r="G36879"/>
    <cellWatch r="G36880"/>
    <cellWatch r="G36881"/>
    <cellWatch r="G36882"/>
    <cellWatch r="G36883"/>
    <cellWatch r="G36884"/>
    <cellWatch r="G36885"/>
    <cellWatch r="G36886"/>
    <cellWatch r="G36887"/>
    <cellWatch r="G36888"/>
    <cellWatch r="G36889"/>
    <cellWatch r="G36890"/>
    <cellWatch r="G36891"/>
    <cellWatch r="G36892"/>
    <cellWatch r="G36893"/>
    <cellWatch r="G36894"/>
    <cellWatch r="G36895"/>
    <cellWatch r="G36896"/>
    <cellWatch r="G36897"/>
    <cellWatch r="G36898"/>
    <cellWatch r="G36899"/>
    <cellWatch r="G36900"/>
    <cellWatch r="G36901"/>
    <cellWatch r="G36902"/>
    <cellWatch r="G36903"/>
    <cellWatch r="G36904"/>
    <cellWatch r="G36905"/>
    <cellWatch r="G36906"/>
    <cellWatch r="G36907"/>
    <cellWatch r="G36908"/>
    <cellWatch r="G36909"/>
    <cellWatch r="G36910"/>
    <cellWatch r="G36911"/>
    <cellWatch r="G36912"/>
    <cellWatch r="G36913"/>
    <cellWatch r="G36914"/>
    <cellWatch r="G36915"/>
    <cellWatch r="G36916"/>
    <cellWatch r="G36917"/>
    <cellWatch r="G36918"/>
    <cellWatch r="G36919"/>
    <cellWatch r="G36920"/>
    <cellWatch r="G36921"/>
    <cellWatch r="G36922"/>
    <cellWatch r="G36923"/>
    <cellWatch r="G36924"/>
    <cellWatch r="G36925"/>
    <cellWatch r="G36926"/>
    <cellWatch r="G36927"/>
    <cellWatch r="G36928"/>
    <cellWatch r="G36929"/>
    <cellWatch r="G36930"/>
    <cellWatch r="G36931"/>
    <cellWatch r="G36932"/>
    <cellWatch r="G36933"/>
    <cellWatch r="G36934"/>
    <cellWatch r="G36935"/>
    <cellWatch r="G36936"/>
    <cellWatch r="G36937"/>
    <cellWatch r="G36938"/>
    <cellWatch r="G36939"/>
    <cellWatch r="G36940"/>
    <cellWatch r="G36941"/>
    <cellWatch r="G36942"/>
    <cellWatch r="G36943"/>
    <cellWatch r="G36944"/>
    <cellWatch r="G36945"/>
    <cellWatch r="G36946"/>
    <cellWatch r="G36947"/>
    <cellWatch r="G36948"/>
    <cellWatch r="G36949"/>
    <cellWatch r="G36950"/>
    <cellWatch r="G36951"/>
    <cellWatch r="G36952"/>
    <cellWatch r="G36953"/>
    <cellWatch r="G36954"/>
    <cellWatch r="G36955"/>
    <cellWatch r="G36956"/>
    <cellWatch r="G36957"/>
    <cellWatch r="G36958"/>
    <cellWatch r="G36959"/>
    <cellWatch r="G36960"/>
    <cellWatch r="G36961"/>
    <cellWatch r="G36962"/>
    <cellWatch r="G36963"/>
    <cellWatch r="G36964"/>
    <cellWatch r="G36965"/>
    <cellWatch r="G36966"/>
    <cellWatch r="G36967"/>
    <cellWatch r="G36968"/>
    <cellWatch r="G36969"/>
    <cellWatch r="G36970"/>
    <cellWatch r="G36971"/>
    <cellWatch r="G36972"/>
    <cellWatch r="G36973"/>
    <cellWatch r="G36974"/>
    <cellWatch r="G36975"/>
    <cellWatch r="G36976"/>
    <cellWatch r="G36977"/>
    <cellWatch r="G36978"/>
    <cellWatch r="G36979"/>
    <cellWatch r="G36980"/>
    <cellWatch r="G36981"/>
    <cellWatch r="G36982"/>
    <cellWatch r="G36983"/>
    <cellWatch r="G36984"/>
    <cellWatch r="G36985"/>
    <cellWatch r="G36986"/>
    <cellWatch r="G36987"/>
    <cellWatch r="G36988"/>
    <cellWatch r="G36989"/>
    <cellWatch r="G36990"/>
    <cellWatch r="G36991"/>
    <cellWatch r="G36992"/>
    <cellWatch r="G36993"/>
    <cellWatch r="G36994"/>
    <cellWatch r="G36995"/>
    <cellWatch r="G36996"/>
    <cellWatch r="G36997"/>
    <cellWatch r="G36998"/>
    <cellWatch r="G36999"/>
    <cellWatch r="G37000"/>
    <cellWatch r="G37001"/>
    <cellWatch r="G37002"/>
    <cellWatch r="G37003"/>
    <cellWatch r="G37004"/>
    <cellWatch r="G37005"/>
    <cellWatch r="G37006"/>
    <cellWatch r="G37007"/>
    <cellWatch r="G37008"/>
    <cellWatch r="G37009"/>
    <cellWatch r="G37010"/>
    <cellWatch r="G37011"/>
    <cellWatch r="G37012"/>
    <cellWatch r="G37013"/>
    <cellWatch r="G37014"/>
    <cellWatch r="G37015"/>
    <cellWatch r="G37016"/>
    <cellWatch r="G37017"/>
    <cellWatch r="G37018"/>
    <cellWatch r="G37019"/>
    <cellWatch r="G37020"/>
    <cellWatch r="G37021"/>
    <cellWatch r="G37022"/>
    <cellWatch r="G37023"/>
    <cellWatch r="G37024"/>
    <cellWatch r="G37025"/>
    <cellWatch r="G37026"/>
    <cellWatch r="G37027"/>
    <cellWatch r="G37028"/>
    <cellWatch r="G37029"/>
    <cellWatch r="G37030"/>
    <cellWatch r="G37031"/>
    <cellWatch r="G37032"/>
    <cellWatch r="G37033"/>
    <cellWatch r="G37034"/>
    <cellWatch r="G37035"/>
    <cellWatch r="G37036"/>
    <cellWatch r="G37037"/>
    <cellWatch r="G37038"/>
    <cellWatch r="G37039"/>
    <cellWatch r="G37040"/>
    <cellWatch r="G37041"/>
    <cellWatch r="G37042"/>
    <cellWatch r="G37043"/>
    <cellWatch r="G37044"/>
    <cellWatch r="G37045"/>
    <cellWatch r="G37046"/>
    <cellWatch r="G37047"/>
    <cellWatch r="G37048"/>
    <cellWatch r="G37049"/>
    <cellWatch r="G37050"/>
    <cellWatch r="G37051"/>
    <cellWatch r="G37052"/>
    <cellWatch r="G37053"/>
    <cellWatch r="G37054"/>
    <cellWatch r="G37055"/>
    <cellWatch r="G37056"/>
    <cellWatch r="G37057"/>
    <cellWatch r="G37058"/>
    <cellWatch r="G37059"/>
    <cellWatch r="G37060"/>
    <cellWatch r="G37061"/>
    <cellWatch r="G37062"/>
    <cellWatch r="G37063"/>
    <cellWatch r="G37064"/>
    <cellWatch r="G37065"/>
    <cellWatch r="G37066"/>
    <cellWatch r="G37067"/>
    <cellWatch r="G37068"/>
    <cellWatch r="G37069"/>
    <cellWatch r="G37070"/>
    <cellWatch r="G37071"/>
    <cellWatch r="G37072"/>
    <cellWatch r="G37073"/>
    <cellWatch r="G37074"/>
    <cellWatch r="G37075"/>
    <cellWatch r="G37076"/>
    <cellWatch r="G37077"/>
    <cellWatch r="G37078"/>
    <cellWatch r="G37079"/>
    <cellWatch r="G37080"/>
    <cellWatch r="G37081"/>
    <cellWatch r="G37082"/>
    <cellWatch r="G37083"/>
    <cellWatch r="G37084"/>
    <cellWatch r="G37085"/>
    <cellWatch r="G37086"/>
    <cellWatch r="G37087"/>
    <cellWatch r="G37088"/>
    <cellWatch r="G37089"/>
    <cellWatch r="G37090"/>
    <cellWatch r="G37091"/>
    <cellWatch r="G37092"/>
    <cellWatch r="G37093"/>
    <cellWatch r="G37094"/>
    <cellWatch r="G37095"/>
    <cellWatch r="G37096"/>
    <cellWatch r="G37097"/>
    <cellWatch r="G37098"/>
    <cellWatch r="G37099"/>
    <cellWatch r="G37100"/>
    <cellWatch r="G37101"/>
    <cellWatch r="G37102"/>
    <cellWatch r="G37103"/>
    <cellWatch r="G37104"/>
    <cellWatch r="G37105"/>
    <cellWatch r="G37106"/>
    <cellWatch r="G37107"/>
    <cellWatch r="G37108"/>
    <cellWatch r="G37109"/>
    <cellWatch r="G37110"/>
    <cellWatch r="G37111"/>
    <cellWatch r="G37112"/>
    <cellWatch r="G37113"/>
    <cellWatch r="G37114"/>
    <cellWatch r="G37115"/>
    <cellWatch r="G37116"/>
    <cellWatch r="G37117"/>
    <cellWatch r="G37118"/>
    <cellWatch r="G37119"/>
    <cellWatch r="G37120"/>
    <cellWatch r="G37121"/>
    <cellWatch r="G37122"/>
    <cellWatch r="G37123"/>
    <cellWatch r="G37124"/>
    <cellWatch r="G37125"/>
    <cellWatch r="G37126"/>
    <cellWatch r="G37127"/>
    <cellWatch r="G37128"/>
    <cellWatch r="G37129"/>
    <cellWatch r="G37130"/>
    <cellWatch r="G37131"/>
    <cellWatch r="G37132"/>
    <cellWatch r="G37133"/>
    <cellWatch r="G37134"/>
    <cellWatch r="G37135"/>
    <cellWatch r="G37136"/>
    <cellWatch r="G37137"/>
    <cellWatch r="G37138"/>
    <cellWatch r="G37139"/>
    <cellWatch r="G37140"/>
    <cellWatch r="G37141"/>
    <cellWatch r="G37142"/>
    <cellWatch r="G37143"/>
    <cellWatch r="G37144"/>
    <cellWatch r="G37145"/>
    <cellWatch r="G37146"/>
    <cellWatch r="G37147"/>
    <cellWatch r="G37148"/>
    <cellWatch r="G37149"/>
    <cellWatch r="G37150"/>
    <cellWatch r="G37151"/>
    <cellWatch r="G37152"/>
    <cellWatch r="G37153"/>
    <cellWatch r="G37154"/>
    <cellWatch r="G37155"/>
    <cellWatch r="G37156"/>
    <cellWatch r="G37157"/>
    <cellWatch r="G37158"/>
    <cellWatch r="G37159"/>
    <cellWatch r="G37160"/>
    <cellWatch r="G37161"/>
    <cellWatch r="G37162"/>
    <cellWatch r="G37163"/>
    <cellWatch r="G37164"/>
    <cellWatch r="G37165"/>
    <cellWatch r="G37166"/>
    <cellWatch r="G37167"/>
    <cellWatch r="G37168"/>
    <cellWatch r="G37169"/>
    <cellWatch r="G37170"/>
    <cellWatch r="G37171"/>
    <cellWatch r="G37172"/>
    <cellWatch r="G37173"/>
    <cellWatch r="G37174"/>
    <cellWatch r="G37175"/>
    <cellWatch r="G37176"/>
    <cellWatch r="G37177"/>
    <cellWatch r="G37178"/>
    <cellWatch r="G37179"/>
    <cellWatch r="G37180"/>
    <cellWatch r="G37181"/>
    <cellWatch r="G37182"/>
    <cellWatch r="G37183"/>
    <cellWatch r="G37184"/>
    <cellWatch r="G37185"/>
    <cellWatch r="G37186"/>
    <cellWatch r="G37187"/>
    <cellWatch r="G37188"/>
    <cellWatch r="G37189"/>
    <cellWatch r="G37190"/>
    <cellWatch r="G37191"/>
    <cellWatch r="G37192"/>
    <cellWatch r="G37193"/>
    <cellWatch r="G37194"/>
    <cellWatch r="G37195"/>
    <cellWatch r="G37196"/>
    <cellWatch r="G37197"/>
    <cellWatch r="G37198"/>
    <cellWatch r="G37199"/>
    <cellWatch r="G37200"/>
    <cellWatch r="G37201"/>
    <cellWatch r="G37202"/>
    <cellWatch r="G37203"/>
    <cellWatch r="G37204"/>
    <cellWatch r="G37205"/>
    <cellWatch r="G37206"/>
    <cellWatch r="G37207"/>
    <cellWatch r="G37208"/>
    <cellWatch r="G37209"/>
    <cellWatch r="G37210"/>
    <cellWatch r="G37211"/>
    <cellWatch r="G37212"/>
    <cellWatch r="G37213"/>
    <cellWatch r="G37214"/>
    <cellWatch r="G37215"/>
    <cellWatch r="G37216"/>
    <cellWatch r="G37217"/>
    <cellWatch r="G37218"/>
    <cellWatch r="G37219"/>
    <cellWatch r="G37220"/>
    <cellWatch r="G37221"/>
    <cellWatch r="G37222"/>
    <cellWatch r="G37223"/>
    <cellWatch r="G37224"/>
    <cellWatch r="G37225"/>
    <cellWatch r="G37226"/>
    <cellWatch r="G37227"/>
    <cellWatch r="G37228"/>
    <cellWatch r="G37229"/>
    <cellWatch r="G37230"/>
    <cellWatch r="G37231"/>
    <cellWatch r="G37232"/>
    <cellWatch r="G37233"/>
    <cellWatch r="G37234"/>
    <cellWatch r="G37235"/>
    <cellWatch r="G37236"/>
    <cellWatch r="G37237"/>
    <cellWatch r="G37238"/>
    <cellWatch r="G37239"/>
    <cellWatch r="G37240"/>
    <cellWatch r="G37241"/>
    <cellWatch r="G37242"/>
    <cellWatch r="G37243"/>
    <cellWatch r="G37244"/>
    <cellWatch r="G37245"/>
    <cellWatch r="G37246"/>
    <cellWatch r="G37247"/>
    <cellWatch r="G37248"/>
    <cellWatch r="G37249"/>
    <cellWatch r="G37250"/>
    <cellWatch r="G37251"/>
    <cellWatch r="G37252"/>
    <cellWatch r="G37253"/>
    <cellWatch r="G37254"/>
    <cellWatch r="G37255"/>
    <cellWatch r="G37256"/>
    <cellWatch r="G37257"/>
    <cellWatch r="G37258"/>
    <cellWatch r="G37259"/>
    <cellWatch r="G37260"/>
    <cellWatch r="G37261"/>
    <cellWatch r="G37262"/>
    <cellWatch r="G37263"/>
    <cellWatch r="G37264"/>
    <cellWatch r="G37265"/>
    <cellWatch r="G37266"/>
    <cellWatch r="G37267"/>
    <cellWatch r="G37268"/>
    <cellWatch r="G37269"/>
    <cellWatch r="G37270"/>
    <cellWatch r="G37271"/>
    <cellWatch r="G37272"/>
    <cellWatch r="G37273"/>
    <cellWatch r="G37274"/>
    <cellWatch r="G37275"/>
    <cellWatch r="G37276"/>
    <cellWatch r="G37277"/>
    <cellWatch r="G37278"/>
    <cellWatch r="G37279"/>
    <cellWatch r="G37280"/>
    <cellWatch r="G37281"/>
    <cellWatch r="G37282"/>
    <cellWatch r="G37283"/>
    <cellWatch r="G37284"/>
    <cellWatch r="G37285"/>
    <cellWatch r="G37286"/>
    <cellWatch r="G37287"/>
    <cellWatch r="G37288"/>
    <cellWatch r="G37289"/>
    <cellWatch r="G37290"/>
    <cellWatch r="G37291"/>
    <cellWatch r="G37292"/>
    <cellWatch r="G37293"/>
    <cellWatch r="G37294"/>
    <cellWatch r="G37295"/>
    <cellWatch r="G37296"/>
    <cellWatch r="G37297"/>
    <cellWatch r="G37298"/>
    <cellWatch r="G37299"/>
    <cellWatch r="G37300"/>
    <cellWatch r="G37301"/>
    <cellWatch r="G37302"/>
    <cellWatch r="G37303"/>
    <cellWatch r="G37304"/>
    <cellWatch r="G37305"/>
    <cellWatch r="G37306"/>
    <cellWatch r="G37307"/>
    <cellWatch r="G37308"/>
    <cellWatch r="G37309"/>
    <cellWatch r="G37310"/>
    <cellWatch r="G37311"/>
    <cellWatch r="G37312"/>
    <cellWatch r="G37313"/>
    <cellWatch r="G37314"/>
    <cellWatch r="G37315"/>
    <cellWatch r="G37316"/>
    <cellWatch r="G37317"/>
    <cellWatch r="G37318"/>
    <cellWatch r="G37319"/>
    <cellWatch r="G37320"/>
    <cellWatch r="G37321"/>
    <cellWatch r="G37322"/>
    <cellWatch r="G37323"/>
    <cellWatch r="G37324"/>
    <cellWatch r="G37325"/>
    <cellWatch r="G37326"/>
    <cellWatch r="G37327"/>
    <cellWatch r="G37328"/>
    <cellWatch r="G37329"/>
    <cellWatch r="G37330"/>
    <cellWatch r="G37331"/>
    <cellWatch r="G37332"/>
    <cellWatch r="G37333"/>
    <cellWatch r="G37334"/>
    <cellWatch r="G37335"/>
    <cellWatch r="G37336"/>
    <cellWatch r="G37337"/>
    <cellWatch r="G37338"/>
    <cellWatch r="G37339"/>
    <cellWatch r="G37340"/>
    <cellWatch r="G37341"/>
    <cellWatch r="G37342"/>
    <cellWatch r="G37343"/>
    <cellWatch r="G37344"/>
    <cellWatch r="G37345"/>
    <cellWatch r="G37346"/>
    <cellWatch r="G37347"/>
    <cellWatch r="G37348"/>
    <cellWatch r="G37349"/>
    <cellWatch r="G37350"/>
    <cellWatch r="G37351"/>
    <cellWatch r="G37352"/>
    <cellWatch r="G37353"/>
    <cellWatch r="G37354"/>
    <cellWatch r="G37355"/>
    <cellWatch r="G37356"/>
    <cellWatch r="G37357"/>
    <cellWatch r="G37358"/>
    <cellWatch r="G37359"/>
    <cellWatch r="G37360"/>
    <cellWatch r="G37361"/>
    <cellWatch r="G37362"/>
    <cellWatch r="G37363"/>
    <cellWatch r="G37364"/>
    <cellWatch r="G37365"/>
    <cellWatch r="G37366"/>
    <cellWatch r="G37367"/>
    <cellWatch r="G37368"/>
    <cellWatch r="G37369"/>
    <cellWatch r="G37370"/>
    <cellWatch r="G37371"/>
    <cellWatch r="G37372"/>
    <cellWatch r="G37373"/>
    <cellWatch r="G37374"/>
    <cellWatch r="G37375"/>
    <cellWatch r="G37376"/>
    <cellWatch r="G37377"/>
    <cellWatch r="G37378"/>
    <cellWatch r="G37379"/>
    <cellWatch r="G37380"/>
    <cellWatch r="G37381"/>
    <cellWatch r="G37382"/>
    <cellWatch r="G37383"/>
    <cellWatch r="G37384"/>
    <cellWatch r="G37385"/>
    <cellWatch r="G37386"/>
    <cellWatch r="G37387"/>
    <cellWatch r="G37388"/>
    <cellWatch r="G37389"/>
    <cellWatch r="G37390"/>
    <cellWatch r="G37391"/>
    <cellWatch r="G37392"/>
    <cellWatch r="G37393"/>
    <cellWatch r="G37394"/>
    <cellWatch r="G37395"/>
    <cellWatch r="G37396"/>
    <cellWatch r="G37397"/>
    <cellWatch r="G37398"/>
    <cellWatch r="G37399"/>
    <cellWatch r="G37400"/>
    <cellWatch r="G37401"/>
    <cellWatch r="G37402"/>
    <cellWatch r="G37403"/>
    <cellWatch r="G37404"/>
    <cellWatch r="G37405"/>
    <cellWatch r="G37406"/>
    <cellWatch r="G37407"/>
    <cellWatch r="G37408"/>
    <cellWatch r="G37409"/>
    <cellWatch r="G37410"/>
    <cellWatch r="G37411"/>
    <cellWatch r="G37412"/>
    <cellWatch r="G37413"/>
    <cellWatch r="G37414"/>
    <cellWatch r="G37415"/>
    <cellWatch r="G37416"/>
    <cellWatch r="G37417"/>
    <cellWatch r="G37418"/>
    <cellWatch r="G37419"/>
    <cellWatch r="G37420"/>
    <cellWatch r="G37421"/>
    <cellWatch r="G37422"/>
    <cellWatch r="G37423"/>
    <cellWatch r="G37424"/>
    <cellWatch r="G37425"/>
    <cellWatch r="G37426"/>
    <cellWatch r="G37427"/>
    <cellWatch r="G37428"/>
    <cellWatch r="G37429"/>
    <cellWatch r="G37430"/>
    <cellWatch r="G37431"/>
    <cellWatch r="G37432"/>
    <cellWatch r="G37433"/>
    <cellWatch r="G37434"/>
    <cellWatch r="G37435"/>
    <cellWatch r="G37436"/>
    <cellWatch r="G37437"/>
    <cellWatch r="G37438"/>
    <cellWatch r="G37439"/>
    <cellWatch r="G37440"/>
    <cellWatch r="G37441"/>
    <cellWatch r="G37442"/>
    <cellWatch r="G37443"/>
    <cellWatch r="G37444"/>
    <cellWatch r="G37445"/>
    <cellWatch r="G37446"/>
    <cellWatch r="G37447"/>
    <cellWatch r="G37448"/>
    <cellWatch r="G37449"/>
    <cellWatch r="G37450"/>
    <cellWatch r="G37451"/>
    <cellWatch r="G37452"/>
    <cellWatch r="G37453"/>
    <cellWatch r="G37454"/>
    <cellWatch r="G37455"/>
    <cellWatch r="G37456"/>
    <cellWatch r="G37457"/>
    <cellWatch r="G37458"/>
    <cellWatch r="G37459"/>
    <cellWatch r="G37460"/>
    <cellWatch r="G37461"/>
    <cellWatch r="G37462"/>
    <cellWatch r="G37463"/>
    <cellWatch r="G37464"/>
    <cellWatch r="G37465"/>
    <cellWatch r="G37466"/>
    <cellWatch r="G37467"/>
    <cellWatch r="G37468"/>
    <cellWatch r="G37469"/>
    <cellWatch r="G37470"/>
    <cellWatch r="G37471"/>
    <cellWatch r="G37472"/>
    <cellWatch r="G37473"/>
    <cellWatch r="G37474"/>
    <cellWatch r="G37475"/>
    <cellWatch r="G37476"/>
    <cellWatch r="G37477"/>
    <cellWatch r="G37478"/>
    <cellWatch r="G37479"/>
    <cellWatch r="G37480"/>
    <cellWatch r="G37481"/>
    <cellWatch r="G37482"/>
    <cellWatch r="G37483"/>
    <cellWatch r="G37484"/>
    <cellWatch r="G37485"/>
    <cellWatch r="G37486"/>
    <cellWatch r="G37487"/>
    <cellWatch r="G37488"/>
    <cellWatch r="G37489"/>
    <cellWatch r="G37490"/>
    <cellWatch r="G37491"/>
    <cellWatch r="G37492"/>
    <cellWatch r="G37493"/>
    <cellWatch r="G37494"/>
    <cellWatch r="G37495"/>
    <cellWatch r="G37496"/>
    <cellWatch r="G37497"/>
    <cellWatch r="G37498"/>
    <cellWatch r="G37499"/>
    <cellWatch r="G37500"/>
    <cellWatch r="G37501"/>
    <cellWatch r="G37502"/>
    <cellWatch r="G37503"/>
    <cellWatch r="G37504"/>
    <cellWatch r="G37505"/>
    <cellWatch r="G37506"/>
    <cellWatch r="G37507"/>
    <cellWatch r="G37508"/>
    <cellWatch r="G37509"/>
    <cellWatch r="G37510"/>
    <cellWatch r="G37511"/>
    <cellWatch r="G37512"/>
    <cellWatch r="G37513"/>
    <cellWatch r="G37514"/>
    <cellWatch r="G37515"/>
    <cellWatch r="G37516"/>
    <cellWatch r="G37517"/>
    <cellWatch r="G37518"/>
    <cellWatch r="G37519"/>
    <cellWatch r="G37520"/>
    <cellWatch r="G37521"/>
    <cellWatch r="G37522"/>
    <cellWatch r="G37523"/>
    <cellWatch r="G37524"/>
    <cellWatch r="G37525"/>
    <cellWatch r="G37526"/>
    <cellWatch r="G37527"/>
    <cellWatch r="G37528"/>
    <cellWatch r="G37529"/>
    <cellWatch r="G37530"/>
    <cellWatch r="G37531"/>
    <cellWatch r="G37532"/>
    <cellWatch r="G37533"/>
    <cellWatch r="G37534"/>
    <cellWatch r="G37535"/>
    <cellWatch r="G37536"/>
    <cellWatch r="G37537"/>
    <cellWatch r="G37538"/>
    <cellWatch r="G37539"/>
    <cellWatch r="G37540"/>
    <cellWatch r="G37541"/>
    <cellWatch r="G37542"/>
    <cellWatch r="G37543"/>
    <cellWatch r="G37544"/>
    <cellWatch r="G37545"/>
    <cellWatch r="G37546"/>
    <cellWatch r="G37547"/>
    <cellWatch r="G37548"/>
    <cellWatch r="G37549"/>
    <cellWatch r="G37550"/>
    <cellWatch r="G37551"/>
    <cellWatch r="G37552"/>
    <cellWatch r="G37553"/>
    <cellWatch r="G37554"/>
    <cellWatch r="G37555"/>
    <cellWatch r="G37556"/>
    <cellWatch r="G37557"/>
    <cellWatch r="G37558"/>
    <cellWatch r="G37559"/>
    <cellWatch r="G37560"/>
    <cellWatch r="G37561"/>
    <cellWatch r="G37562"/>
    <cellWatch r="G37563"/>
    <cellWatch r="G37564"/>
    <cellWatch r="G37565"/>
    <cellWatch r="G37566"/>
    <cellWatch r="G37567"/>
    <cellWatch r="G37568"/>
    <cellWatch r="G37569"/>
    <cellWatch r="G37570"/>
    <cellWatch r="G37571"/>
    <cellWatch r="G37572"/>
    <cellWatch r="G37573"/>
    <cellWatch r="G37574"/>
    <cellWatch r="G37575"/>
    <cellWatch r="G37576"/>
    <cellWatch r="G37577"/>
    <cellWatch r="G37578"/>
    <cellWatch r="G37579"/>
    <cellWatch r="G37580"/>
    <cellWatch r="G37581"/>
    <cellWatch r="G37582"/>
    <cellWatch r="G37583"/>
    <cellWatch r="G37584"/>
    <cellWatch r="G37585"/>
    <cellWatch r="G37586"/>
    <cellWatch r="G37587"/>
    <cellWatch r="G37588"/>
    <cellWatch r="G37589"/>
    <cellWatch r="G37590"/>
    <cellWatch r="G37591"/>
    <cellWatch r="G37592"/>
    <cellWatch r="G37593"/>
    <cellWatch r="G37594"/>
    <cellWatch r="G37595"/>
    <cellWatch r="G37596"/>
    <cellWatch r="G37597"/>
    <cellWatch r="G37598"/>
    <cellWatch r="G37599"/>
    <cellWatch r="G37600"/>
    <cellWatch r="G37601"/>
    <cellWatch r="G37602"/>
    <cellWatch r="G37603"/>
    <cellWatch r="G37604"/>
    <cellWatch r="G37605"/>
    <cellWatch r="G37606"/>
    <cellWatch r="G37607"/>
    <cellWatch r="G37608"/>
    <cellWatch r="G37609"/>
    <cellWatch r="G37610"/>
    <cellWatch r="G37611"/>
    <cellWatch r="G37612"/>
    <cellWatch r="G37613"/>
    <cellWatch r="G37614"/>
    <cellWatch r="G37615"/>
    <cellWatch r="G37616"/>
    <cellWatch r="G37617"/>
    <cellWatch r="G37618"/>
    <cellWatch r="G37619"/>
    <cellWatch r="G37620"/>
    <cellWatch r="G37621"/>
    <cellWatch r="G37622"/>
    <cellWatch r="G37623"/>
    <cellWatch r="G37624"/>
    <cellWatch r="G37625"/>
    <cellWatch r="G37626"/>
    <cellWatch r="G37627"/>
    <cellWatch r="G37628"/>
    <cellWatch r="G37629"/>
    <cellWatch r="G37630"/>
    <cellWatch r="G37631"/>
    <cellWatch r="G37632"/>
    <cellWatch r="G37633"/>
    <cellWatch r="G37634"/>
    <cellWatch r="G37635"/>
    <cellWatch r="G37636"/>
    <cellWatch r="G37637"/>
    <cellWatch r="G37638"/>
    <cellWatch r="G37639"/>
    <cellWatch r="G37640"/>
    <cellWatch r="G37641"/>
    <cellWatch r="G37642"/>
    <cellWatch r="G37643"/>
    <cellWatch r="G37644"/>
    <cellWatch r="G37645"/>
    <cellWatch r="G37646"/>
    <cellWatch r="G37647"/>
    <cellWatch r="G37648"/>
    <cellWatch r="G37649"/>
    <cellWatch r="G37650"/>
    <cellWatch r="G37651"/>
    <cellWatch r="G37652"/>
    <cellWatch r="G37653"/>
    <cellWatch r="G37654"/>
    <cellWatch r="G37655"/>
    <cellWatch r="G37656"/>
    <cellWatch r="G37657"/>
    <cellWatch r="G37658"/>
    <cellWatch r="G37659"/>
    <cellWatch r="G37660"/>
    <cellWatch r="G37661"/>
    <cellWatch r="G37662"/>
    <cellWatch r="G37663"/>
    <cellWatch r="G37664"/>
    <cellWatch r="G37665"/>
    <cellWatch r="G37666"/>
    <cellWatch r="G37667"/>
    <cellWatch r="G37668"/>
    <cellWatch r="G37669"/>
    <cellWatch r="G37670"/>
    <cellWatch r="G37671"/>
    <cellWatch r="G37672"/>
    <cellWatch r="G37673"/>
    <cellWatch r="G37674"/>
    <cellWatch r="G37675"/>
    <cellWatch r="G37676"/>
    <cellWatch r="G37677"/>
    <cellWatch r="G37678"/>
    <cellWatch r="G37679"/>
    <cellWatch r="G37680"/>
    <cellWatch r="G37681"/>
    <cellWatch r="G37682"/>
    <cellWatch r="G37683"/>
    <cellWatch r="G37684"/>
    <cellWatch r="G37685"/>
    <cellWatch r="G37686"/>
    <cellWatch r="G37687"/>
    <cellWatch r="G37688"/>
    <cellWatch r="G37689"/>
    <cellWatch r="G37690"/>
    <cellWatch r="G37691"/>
    <cellWatch r="G37692"/>
    <cellWatch r="G37693"/>
    <cellWatch r="G37694"/>
    <cellWatch r="G37695"/>
    <cellWatch r="G37696"/>
    <cellWatch r="G37697"/>
    <cellWatch r="G37698"/>
    <cellWatch r="G37699"/>
    <cellWatch r="G37700"/>
    <cellWatch r="G37701"/>
    <cellWatch r="G37702"/>
    <cellWatch r="G37703"/>
    <cellWatch r="G37704"/>
    <cellWatch r="G37705"/>
    <cellWatch r="G37706"/>
    <cellWatch r="G37707"/>
    <cellWatch r="G37708"/>
    <cellWatch r="G37709"/>
    <cellWatch r="G37710"/>
    <cellWatch r="G37711"/>
    <cellWatch r="G37712"/>
    <cellWatch r="G37713"/>
    <cellWatch r="G37714"/>
    <cellWatch r="G37715"/>
    <cellWatch r="G37716"/>
    <cellWatch r="G37717"/>
    <cellWatch r="G37718"/>
    <cellWatch r="G37719"/>
    <cellWatch r="G37720"/>
    <cellWatch r="G37721"/>
    <cellWatch r="G37722"/>
    <cellWatch r="G37723"/>
    <cellWatch r="G37724"/>
    <cellWatch r="G37725"/>
    <cellWatch r="G37726"/>
    <cellWatch r="G37727"/>
    <cellWatch r="G37728"/>
    <cellWatch r="G37729"/>
    <cellWatch r="G37730"/>
    <cellWatch r="G37731"/>
    <cellWatch r="G37732"/>
    <cellWatch r="G37733"/>
    <cellWatch r="G37734"/>
    <cellWatch r="G37735"/>
    <cellWatch r="G37736"/>
    <cellWatch r="G37737"/>
    <cellWatch r="G37738"/>
    <cellWatch r="G37739"/>
    <cellWatch r="G37740"/>
    <cellWatch r="G37741"/>
    <cellWatch r="G37742"/>
    <cellWatch r="G37743"/>
    <cellWatch r="G37744"/>
    <cellWatch r="G37745"/>
    <cellWatch r="G37746"/>
    <cellWatch r="G37747"/>
    <cellWatch r="G37748"/>
    <cellWatch r="G37749"/>
    <cellWatch r="G37750"/>
    <cellWatch r="G37751"/>
    <cellWatch r="G37752"/>
    <cellWatch r="G37753"/>
    <cellWatch r="G37754"/>
    <cellWatch r="G37755"/>
    <cellWatch r="G37756"/>
    <cellWatch r="G37757"/>
    <cellWatch r="G37758"/>
    <cellWatch r="G37759"/>
    <cellWatch r="G37760"/>
    <cellWatch r="G37761"/>
    <cellWatch r="G37762"/>
    <cellWatch r="G37763"/>
    <cellWatch r="G37764"/>
    <cellWatch r="G37765"/>
    <cellWatch r="G37766"/>
    <cellWatch r="G37767"/>
    <cellWatch r="G37768"/>
    <cellWatch r="G37769"/>
    <cellWatch r="G37770"/>
    <cellWatch r="G37771"/>
    <cellWatch r="G37772"/>
    <cellWatch r="G37773"/>
    <cellWatch r="G37774"/>
    <cellWatch r="G37775"/>
    <cellWatch r="G37776"/>
    <cellWatch r="G37777"/>
    <cellWatch r="G37778"/>
    <cellWatch r="G37779"/>
    <cellWatch r="G37780"/>
    <cellWatch r="G37781"/>
    <cellWatch r="G37782"/>
    <cellWatch r="G37783"/>
    <cellWatch r="G37784"/>
    <cellWatch r="G37785"/>
    <cellWatch r="G37786"/>
    <cellWatch r="G37787"/>
    <cellWatch r="G37788"/>
    <cellWatch r="G37789"/>
    <cellWatch r="G37790"/>
    <cellWatch r="G37791"/>
    <cellWatch r="G37792"/>
    <cellWatch r="G37793"/>
    <cellWatch r="G37794"/>
    <cellWatch r="G37795"/>
    <cellWatch r="G37796"/>
    <cellWatch r="G37797"/>
    <cellWatch r="G37798"/>
    <cellWatch r="G37799"/>
    <cellWatch r="G37800"/>
    <cellWatch r="G37801"/>
    <cellWatch r="G37802"/>
    <cellWatch r="G37803"/>
    <cellWatch r="G37804"/>
    <cellWatch r="G37805"/>
    <cellWatch r="G37806"/>
    <cellWatch r="G37807"/>
    <cellWatch r="G37808"/>
    <cellWatch r="G37809"/>
    <cellWatch r="G37810"/>
    <cellWatch r="G37811"/>
    <cellWatch r="G37812"/>
    <cellWatch r="G37813"/>
    <cellWatch r="G37814"/>
    <cellWatch r="G37815"/>
    <cellWatch r="G37816"/>
    <cellWatch r="G37817"/>
    <cellWatch r="G37818"/>
    <cellWatch r="G37819"/>
    <cellWatch r="G37820"/>
    <cellWatch r="G37821"/>
    <cellWatch r="G37822"/>
    <cellWatch r="G37823"/>
    <cellWatch r="G37824"/>
    <cellWatch r="G37825"/>
    <cellWatch r="G37826"/>
    <cellWatch r="G37827"/>
    <cellWatch r="G37828"/>
    <cellWatch r="G37829"/>
    <cellWatch r="G37830"/>
    <cellWatch r="G37831"/>
    <cellWatch r="G37832"/>
    <cellWatch r="G37833"/>
    <cellWatch r="G37834"/>
    <cellWatch r="G37835"/>
    <cellWatch r="G37836"/>
    <cellWatch r="G37837"/>
    <cellWatch r="G37838"/>
    <cellWatch r="G37839"/>
    <cellWatch r="G37840"/>
    <cellWatch r="G37841"/>
    <cellWatch r="G37842"/>
    <cellWatch r="G37843"/>
    <cellWatch r="G37844"/>
    <cellWatch r="G37845"/>
    <cellWatch r="G37846"/>
    <cellWatch r="G37847"/>
    <cellWatch r="G37848"/>
    <cellWatch r="G37849"/>
    <cellWatch r="G37850"/>
    <cellWatch r="G37851"/>
    <cellWatch r="G37852"/>
    <cellWatch r="G37853"/>
    <cellWatch r="G37854"/>
    <cellWatch r="G37855"/>
    <cellWatch r="G37856"/>
    <cellWatch r="G37857"/>
    <cellWatch r="G37858"/>
    <cellWatch r="G37859"/>
    <cellWatch r="G37860"/>
    <cellWatch r="G37861"/>
    <cellWatch r="G37862"/>
    <cellWatch r="G37863"/>
    <cellWatch r="G37864"/>
    <cellWatch r="G37865"/>
    <cellWatch r="G37866"/>
    <cellWatch r="G37867"/>
    <cellWatch r="G37868"/>
    <cellWatch r="G37869"/>
    <cellWatch r="G37870"/>
    <cellWatch r="G37871"/>
    <cellWatch r="G37872"/>
    <cellWatch r="G37873"/>
    <cellWatch r="G37874"/>
    <cellWatch r="G37875"/>
    <cellWatch r="G37876"/>
    <cellWatch r="G37877"/>
    <cellWatch r="G37878"/>
    <cellWatch r="G37879"/>
    <cellWatch r="G37880"/>
    <cellWatch r="G37881"/>
    <cellWatch r="G37882"/>
    <cellWatch r="G37883"/>
    <cellWatch r="G37884"/>
    <cellWatch r="G37885"/>
    <cellWatch r="G37886"/>
    <cellWatch r="G37887"/>
    <cellWatch r="G37888"/>
    <cellWatch r="G37889"/>
    <cellWatch r="G37890"/>
    <cellWatch r="G37891"/>
    <cellWatch r="G37892"/>
    <cellWatch r="G37893"/>
    <cellWatch r="G37894"/>
    <cellWatch r="G37895"/>
    <cellWatch r="G37896"/>
    <cellWatch r="G37897"/>
    <cellWatch r="G37898"/>
    <cellWatch r="G37899"/>
    <cellWatch r="G37900"/>
    <cellWatch r="G37901"/>
    <cellWatch r="G37902"/>
    <cellWatch r="G37903"/>
    <cellWatch r="G37904"/>
    <cellWatch r="G37905"/>
    <cellWatch r="G37906"/>
    <cellWatch r="G37907"/>
    <cellWatch r="G37908"/>
    <cellWatch r="G37909"/>
    <cellWatch r="G37910"/>
    <cellWatch r="G37911"/>
    <cellWatch r="G37912"/>
    <cellWatch r="G37913"/>
    <cellWatch r="G37914"/>
    <cellWatch r="G37915"/>
    <cellWatch r="G37916"/>
    <cellWatch r="G37917"/>
    <cellWatch r="G37918"/>
    <cellWatch r="G37919"/>
    <cellWatch r="G37920"/>
    <cellWatch r="G37921"/>
    <cellWatch r="G37922"/>
    <cellWatch r="G37923"/>
    <cellWatch r="G37924"/>
    <cellWatch r="G37925"/>
    <cellWatch r="G37926"/>
    <cellWatch r="G37927"/>
    <cellWatch r="G37928"/>
    <cellWatch r="G37929"/>
    <cellWatch r="G37930"/>
    <cellWatch r="G37931"/>
    <cellWatch r="G37932"/>
    <cellWatch r="G37933"/>
    <cellWatch r="G37934"/>
    <cellWatch r="G37935"/>
    <cellWatch r="G37936"/>
    <cellWatch r="G37937"/>
    <cellWatch r="G37938"/>
    <cellWatch r="G37939"/>
    <cellWatch r="G37940"/>
    <cellWatch r="G37941"/>
    <cellWatch r="G37942"/>
    <cellWatch r="G37943"/>
    <cellWatch r="G37944"/>
    <cellWatch r="G37945"/>
    <cellWatch r="G37946"/>
    <cellWatch r="G37947"/>
    <cellWatch r="G37948"/>
    <cellWatch r="G37949"/>
    <cellWatch r="G37950"/>
    <cellWatch r="G37951"/>
    <cellWatch r="G37952"/>
    <cellWatch r="G37953"/>
    <cellWatch r="G37954"/>
    <cellWatch r="G37955"/>
    <cellWatch r="G37956"/>
    <cellWatch r="G37957"/>
    <cellWatch r="G37958"/>
    <cellWatch r="G37959"/>
    <cellWatch r="G37960"/>
    <cellWatch r="G37961"/>
    <cellWatch r="G37962"/>
    <cellWatch r="G37963"/>
    <cellWatch r="G37964"/>
    <cellWatch r="G37965"/>
    <cellWatch r="G37966"/>
    <cellWatch r="G37967"/>
    <cellWatch r="G37968"/>
    <cellWatch r="G37969"/>
    <cellWatch r="G37970"/>
    <cellWatch r="G37971"/>
    <cellWatch r="G37972"/>
    <cellWatch r="G37973"/>
    <cellWatch r="G37974"/>
    <cellWatch r="G37975"/>
    <cellWatch r="G37976"/>
    <cellWatch r="G37977"/>
    <cellWatch r="G37978"/>
    <cellWatch r="G37979"/>
    <cellWatch r="G37980"/>
    <cellWatch r="G37981"/>
    <cellWatch r="G37982"/>
    <cellWatch r="G37983"/>
    <cellWatch r="G37984"/>
    <cellWatch r="G37985"/>
    <cellWatch r="G37986"/>
    <cellWatch r="G37987"/>
    <cellWatch r="G37988"/>
    <cellWatch r="G37989"/>
    <cellWatch r="G37990"/>
    <cellWatch r="G37991"/>
    <cellWatch r="G37992"/>
    <cellWatch r="G37993"/>
    <cellWatch r="G37994"/>
    <cellWatch r="G37995"/>
    <cellWatch r="G37996"/>
    <cellWatch r="G37997"/>
    <cellWatch r="G37998"/>
    <cellWatch r="G37999"/>
    <cellWatch r="G38000"/>
    <cellWatch r="G38001"/>
    <cellWatch r="G38002"/>
    <cellWatch r="G38003"/>
    <cellWatch r="G38004"/>
    <cellWatch r="G38005"/>
    <cellWatch r="G38006"/>
    <cellWatch r="G38007"/>
    <cellWatch r="G38008"/>
    <cellWatch r="G38009"/>
    <cellWatch r="G38010"/>
    <cellWatch r="G38011"/>
    <cellWatch r="G38012"/>
    <cellWatch r="G38013"/>
    <cellWatch r="G38014"/>
    <cellWatch r="G38015"/>
    <cellWatch r="G38016"/>
    <cellWatch r="G38017"/>
    <cellWatch r="G38018"/>
    <cellWatch r="G38019"/>
    <cellWatch r="G38020"/>
    <cellWatch r="G38021"/>
    <cellWatch r="G38022"/>
    <cellWatch r="G38023"/>
    <cellWatch r="G38024"/>
    <cellWatch r="G38025"/>
    <cellWatch r="G38026"/>
    <cellWatch r="G38027"/>
    <cellWatch r="G38028"/>
    <cellWatch r="G38029"/>
    <cellWatch r="G38030"/>
    <cellWatch r="G38031"/>
    <cellWatch r="G38032"/>
    <cellWatch r="G38033"/>
    <cellWatch r="G38034"/>
    <cellWatch r="G38035"/>
    <cellWatch r="G38036"/>
    <cellWatch r="G38037"/>
    <cellWatch r="G38038"/>
    <cellWatch r="G38039"/>
    <cellWatch r="G38040"/>
    <cellWatch r="G38041"/>
    <cellWatch r="G38042"/>
    <cellWatch r="G38043"/>
    <cellWatch r="G38044"/>
    <cellWatch r="G38045"/>
    <cellWatch r="G38046"/>
    <cellWatch r="G38047"/>
    <cellWatch r="G38048"/>
    <cellWatch r="G38049"/>
    <cellWatch r="G38050"/>
    <cellWatch r="G38051"/>
    <cellWatch r="G38052"/>
    <cellWatch r="G38053"/>
    <cellWatch r="G38054"/>
    <cellWatch r="G38055"/>
    <cellWatch r="G38056"/>
    <cellWatch r="G38057"/>
    <cellWatch r="G38058"/>
    <cellWatch r="G38059"/>
    <cellWatch r="G38060"/>
    <cellWatch r="G38061"/>
    <cellWatch r="G38062"/>
    <cellWatch r="G38063"/>
    <cellWatch r="G38064"/>
    <cellWatch r="G38065"/>
    <cellWatch r="G38066"/>
    <cellWatch r="G38067"/>
    <cellWatch r="G38068"/>
    <cellWatch r="G38069"/>
    <cellWatch r="G38070"/>
    <cellWatch r="G38071"/>
    <cellWatch r="G38072"/>
    <cellWatch r="G38073"/>
    <cellWatch r="G38074"/>
    <cellWatch r="G38075"/>
    <cellWatch r="G38076"/>
    <cellWatch r="G38077"/>
    <cellWatch r="G38078"/>
    <cellWatch r="G38079"/>
    <cellWatch r="G38080"/>
    <cellWatch r="G38081"/>
    <cellWatch r="G38082"/>
    <cellWatch r="G38083"/>
    <cellWatch r="G38084"/>
    <cellWatch r="G38085"/>
    <cellWatch r="G38086"/>
    <cellWatch r="G38087"/>
    <cellWatch r="G38088"/>
    <cellWatch r="G38089"/>
    <cellWatch r="G38090"/>
    <cellWatch r="G38091"/>
    <cellWatch r="G38092"/>
    <cellWatch r="G38093"/>
    <cellWatch r="G38094"/>
    <cellWatch r="G38095"/>
    <cellWatch r="G38096"/>
    <cellWatch r="G38097"/>
    <cellWatch r="G38098"/>
    <cellWatch r="G38099"/>
    <cellWatch r="G38100"/>
    <cellWatch r="G38101"/>
    <cellWatch r="G38102"/>
    <cellWatch r="G38103"/>
    <cellWatch r="G38104"/>
    <cellWatch r="G38105"/>
    <cellWatch r="G38106"/>
    <cellWatch r="G38107"/>
    <cellWatch r="G38108"/>
    <cellWatch r="G38109"/>
    <cellWatch r="G38110"/>
    <cellWatch r="G38111"/>
    <cellWatch r="G38112"/>
    <cellWatch r="G38113"/>
    <cellWatch r="G38114"/>
    <cellWatch r="G38115"/>
    <cellWatch r="G38116"/>
    <cellWatch r="G38117"/>
    <cellWatch r="G38118"/>
    <cellWatch r="G38119"/>
    <cellWatch r="G38120"/>
    <cellWatch r="G38121"/>
    <cellWatch r="G38122"/>
    <cellWatch r="G38123"/>
    <cellWatch r="G38124"/>
    <cellWatch r="G38125"/>
    <cellWatch r="G38126"/>
    <cellWatch r="G38127"/>
    <cellWatch r="G38128"/>
    <cellWatch r="G38129"/>
    <cellWatch r="G38130"/>
    <cellWatch r="G38131"/>
    <cellWatch r="G38132"/>
    <cellWatch r="G38133"/>
    <cellWatch r="G38134"/>
    <cellWatch r="G38135"/>
    <cellWatch r="G38136"/>
    <cellWatch r="G38137"/>
    <cellWatch r="G38138"/>
    <cellWatch r="G38139"/>
    <cellWatch r="G38140"/>
    <cellWatch r="G38141"/>
    <cellWatch r="G38142"/>
    <cellWatch r="G38143"/>
    <cellWatch r="G38144"/>
    <cellWatch r="G38145"/>
    <cellWatch r="G38146"/>
    <cellWatch r="G38147"/>
    <cellWatch r="G38148"/>
    <cellWatch r="G38149"/>
    <cellWatch r="G38150"/>
    <cellWatch r="G38151"/>
    <cellWatch r="G38152"/>
    <cellWatch r="G38153"/>
    <cellWatch r="G38154"/>
    <cellWatch r="G38155"/>
    <cellWatch r="G38156"/>
    <cellWatch r="G38157"/>
    <cellWatch r="G38158"/>
    <cellWatch r="G38159"/>
    <cellWatch r="G38160"/>
    <cellWatch r="G38161"/>
    <cellWatch r="G38162"/>
    <cellWatch r="G38163"/>
    <cellWatch r="G38164"/>
    <cellWatch r="G38165"/>
    <cellWatch r="G38166"/>
    <cellWatch r="G38167"/>
    <cellWatch r="G38168"/>
    <cellWatch r="G38169"/>
    <cellWatch r="G38170"/>
    <cellWatch r="G38171"/>
    <cellWatch r="G38172"/>
    <cellWatch r="G38173"/>
    <cellWatch r="G38174"/>
    <cellWatch r="G38175"/>
    <cellWatch r="G38176"/>
    <cellWatch r="G38177"/>
    <cellWatch r="G38178"/>
    <cellWatch r="G38179"/>
    <cellWatch r="G38180"/>
    <cellWatch r="G38181"/>
    <cellWatch r="G38182"/>
    <cellWatch r="G38183"/>
    <cellWatch r="G38184"/>
    <cellWatch r="G38185"/>
    <cellWatch r="G38186"/>
    <cellWatch r="G38187"/>
    <cellWatch r="G38188"/>
    <cellWatch r="G38189"/>
    <cellWatch r="G38190"/>
    <cellWatch r="G38191"/>
    <cellWatch r="G38192"/>
    <cellWatch r="G38193"/>
    <cellWatch r="G38194"/>
    <cellWatch r="G38195"/>
    <cellWatch r="G38196"/>
    <cellWatch r="G38197"/>
    <cellWatch r="G38198"/>
    <cellWatch r="G38199"/>
    <cellWatch r="G38200"/>
    <cellWatch r="G38201"/>
    <cellWatch r="G38202"/>
    <cellWatch r="G38203"/>
    <cellWatch r="G38204"/>
    <cellWatch r="G38205"/>
    <cellWatch r="G38206"/>
    <cellWatch r="G38207"/>
    <cellWatch r="G38208"/>
    <cellWatch r="G38209"/>
    <cellWatch r="G38210"/>
    <cellWatch r="G38211"/>
    <cellWatch r="G38212"/>
    <cellWatch r="G38213"/>
    <cellWatch r="G38214"/>
    <cellWatch r="G38215"/>
    <cellWatch r="G38216"/>
    <cellWatch r="G38217"/>
    <cellWatch r="G38218"/>
    <cellWatch r="G38219"/>
    <cellWatch r="G38220"/>
    <cellWatch r="G38221"/>
    <cellWatch r="G38222"/>
    <cellWatch r="G38223"/>
    <cellWatch r="G38224"/>
    <cellWatch r="G38225"/>
    <cellWatch r="G38226"/>
    <cellWatch r="G38227"/>
    <cellWatch r="G38228"/>
    <cellWatch r="G38229"/>
    <cellWatch r="G38230"/>
    <cellWatch r="G38231"/>
    <cellWatch r="G38232"/>
    <cellWatch r="G38233"/>
    <cellWatch r="G38234"/>
    <cellWatch r="G38235"/>
    <cellWatch r="G38236"/>
    <cellWatch r="G38237"/>
    <cellWatch r="G38238"/>
    <cellWatch r="G38239"/>
    <cellWatch r="G38240"/>
    <cellWatch r="G38241"/>
    <cellWatch r="G38242"/>
    <cellWatch r="G38243"/>
    <cellWatch r="G38244"/>
    <cellWatch r="G38245"/>
    <cellWatch r="G38246"/>
    <cellWatch r="G38247"/>
    <cellWatch r="G38248"/>
    <cellWatch r="G38249"/>
    <cellWatch r="G38250"/>
    <cellWatch r="G38251"/>
    <cellWatch r="G38252"/>
    <cellWatch r="G38253"/>
    <cellWatch r="G38254"/>
    <cellWatch r="G38255"/>
    <cellWatch r="G38256"/>
    <cellWatch r="G38257"/>
    <cellWatch r="G38258"/>
    <cellWatch r="G38259"/>
    <cellWatch r="G38260"/>
    <cellWatch r="G38261"/>
    <cellWatch r="G38262"/>
    <cellWatch r="G38263"/>
    <cellWatch r="G38264"/>
    <cellWatch r="G38265"/>
    <cellWatch r="G38266"/>
    <cellWatch r="G38267"/>
    <cellWatch r="G38268"/>
    <cellWatch r="G38269"/>
    <cellWatch r="G38270"/>
    <cellWatch r="G38271"/>
    <cellWatch r="G38272"/>
    <cellWatch r="G38273"/>
    <cellWatch r="G38274"/>
    <cellWatch r="G38275"/>
    <cellWatch r="G38276"/>
    <cellWatch r="G38277"/>
    <cellWatch r="G38278"/>
    <cellWatch r="G38279"/>
    <cellWatch r="G38280"/>
    <cellWatch r="G38281"/>
    <cellWatch r="G38282"/>
    <cellWatch r="G38283"/>
    <cellWatch r="G38284"/>
    <cellWatch r="G38285"/>
    <cellWatch r="G38286"/>
    <cellWatch r="G38287"/>
    <cellWatch r="G38288"/>
    <cellWatch r="G38289"/>
    <cellWatch r="G38290"/>
    <cellWatch r="G38291"/>
    <cellWatch r="G38292"/>
    <cellWatch r="G38293"/>
    <cellWatch r="G38294"/>
    <cellWatch r="G38295"/>
    <cellWatch r="G38296"/>
    <cellWatch r="G38297"/>
    <cellWatch r="G38298"/>
    <cellWatch r="G38299"/>
    <cellWatch r="G38300"/>
    <cellWatch r="G38301"/>
    <cellWatch r="G38302"/>
    <cellWatch r="G38303"/>
    <cellWatch r="G38304"/>
    <cellWatch r="G38305"/>
    <cellWatch r="G38306"/>
    <cellWatch r="G38307"/>
    <cellWatch r="G38308"/>
    <cellWatch r="G38309"/>
    <cellWatch r="G38310"/>
    <cellWatch r="G38311"/>
    <cellWatch r="G38312"/>
    <cellWatch r="G38313"/>
    <cellWatch r="G38314"/>
    <cellWatch r="G38315"/>
    <cellWatch r="G38316"/>
    <cellWatch r="G38317"/>
    <cellWatch r="G38318"/>
    <cellWatch r="G38319"/>
    <cellWatch r="G38320"/>
    <cellWatch r="G38321"/>
    <cellWatch r="G38322"/>
    <cellWatch r="G38323"/>
    <cellWatch r="G38324"/>
    <cellWatch r="G38325"/>
    <cellWatch r="G38326"/>
    <cellWatch r="G38327"/>
    <cellWatch r="G38328"/>
    <cellWatch r="G38329"/>
    <cellWatch r="G38330"/>
    <cellWatch r="G38331"/>
    <cellWatch r="G38332"/>
    <cellWatch r="G38333"/>
    <cellWatch r="G38334"/>
    <cellWatch r="G38335"/>
    <cellWatch r="G38336"/>
    <cellWatch r="G38337"/>
    <cellWatch r="G38338"/>
    <cellWatch r="G38339"/>
    <cellWatch r="G38340"/>
    <cellWatch r="G38341"/>
    <cellWatch r="G38342"/>
    <cellWatch r="G38343"/>
    <cellWatch r="G38344"/>
    <cellWatch r="G38345"/>
    <cellWatch r="G38346"/>
    <cellWatch r="G38347"/>
    <cellWatch r="G38348"/>
    <cellWatch r="G38349"/>
    <cellWatch r="G38350"/>
    <cellWatch r="G38351"/>
    <cellWatch r="G38352"/>
    <cellWatch r="G38353"/>
    <cellWatch r="G38354"/>
    <cellWatch r="G38355"/>
    <cellWatch r="G38356"/>
    <cellWatch r="G38357"/>
    <cellWatch r="G38358"/>
    <cellWatch r="G38359"/>
    <cellWatch r="G38360"/>
    <cellWatch r="G38361"/>
    <cellWatch r="G38362"/>
    <cellWatch r="G38363"/>
    <cellWatch r="G38364"/>
    <cellWatch r="G38365"/>
    <cellWatch r="G38366"/>
    <cellWatch r="G38367"/>
    <cellWatch r="G38368"/>
    <cellWatch r="G38369"/>
    <cellWatch r="G38370"/>
    <cellWatch r="G38371"/>
    <cellWatch r="G38372"/>
    <cellWatch r="G38373"/>
    <cellWatch r="G38374"/>
    <cellWatch r="G38375"/>
    <cellWatch r="G38376"/>
    <cellWatch r="G38377"/>
    <cellWatch r="G38378"/>
    <cellWatch r="G38379"/>
    <cellWatch r="G38380"/>
    <cellWatch r="G38381"/>
    <cellWatch r="G38382"/>
    <cellWatch r="G38383"/>
    <cellWatch r="G38384"/>
    <cellWatch r="G38385"/>
    <cellWatch r="G38386"/>
    <cellWatch r="G38387"/>
    <cellWatch r="G38388"/>
    <cellWatch r="G38389"/>
    <cellWatch r="G38390"/>
    <cellWatch r="G38391"/>
    <cellWatch r="G38392"/>
    <cellWatch r="G38393"/>
    <cellWatch r="G38394"/>
    <cellWatch r="G38395"/>
    <cellWatch r="G38396"/>
    <cellWatch r="G38397"/>
    <cellWatch r="G38398"/>
    <cellWatch r="G38399"/>
    <cellWatch r="G38400"/>
    <cellWatch r="G38401"/>
    <cellWatch r="G38402"/>
    <cellWatch r="G38403"/>
    <cellWatch r="G38404"/>
    <cellWatch r="G38405"/>
    <cellWatch r="G38406"/>
    <cellWatch r="G38407"/>
    <cellWatch r="G38408"/>
    <cellWatch r="G38409"/>
    <cellWatch r="G38410"/>
    <cellWatch r="G38411"/>
    <cellWatch r="G38412"/>
    <cellWatch r="G38413"/>
    <cellWatch r="G38414"/>
    <cellWatch r="G38415"/>
    <cellWatch r="G38416"/>
    <cellWatch r="G38417"/>
    <cellWatch r="G38418"/>
    <cellWatch r="G38419"/>
    <cellWatch r="G38420"/>
    <cellWatch r="G38421"/>
    <cellWatch r="G38422"/>
    <cellWatch r="G38423"/>
    <cellWatch r="G38424"/>
    <cellWatch r="G38425"/>
    <cellWatch r="G38426"/>
    <cellWatch r="G38427"/>
    <cellWatch r="G38428"/>
    <cellWatch r="G38429"/>
    <cellWatch r="G38430"/>
    <cellWatch r="G38431"/>
    <cellWatch r="G38432"/>
    <cellWatch r="G38433"/>
    <cellWatch r="G38434"/>
    <cellWatch r="G38435"/>
    <cellWatch r="G38436"/>
    <cellWatch r="G38437"/>
    <cellWatch r="G38438"/>
    <cellWatch r="G38439"/>
    <cellWatch r="G38440"/>
    <cellWatch r="G38441"/>
    <cellWatch r="G38442"/>
    <cellWatch r="G38443"/>
    <cellWatch r="G38444"/>
    <cellWatch r="G38445"/>
    <cellWatch r="G38446"/>
    <cellWatch r="G38447"/>
    <cellWatch r="G38448"/>
    <cellWatch r="G38449"/>
    <cellWatch r="G38450"/>
    <cellWatch r="G38451"/>
    <cellWatch r="G38452"/>
    <cellWatch r="G38453"/>
    <cellWatch r="G38454"/>
    <cellWatch r="G38455"/>
    <cellWatch r="G38456"/>
    <cellWatch r="G38457"/>
    <cellWatch r="G38458"/>
    <cellWatch r="G38459"/>
    <cellWatch r="G38460"/>
    <cellWatch r="G38461"/>
    <cellWatch r="G38462"/>
    <cellWatch r="G38463"/>
    <cellWatch r="G38464"/>
    <cellWatch r="G38465"/>
    <cellWatch r="G38466"/>
    <cellWatch r="G38467"/>
    <cellWatch r="G38468"/>
    <cellWatch r="G38469"/>
    <cellWatch r="G38470"/>
    <cellWatch r="G38471"/>
    <cellWatch r="G38472"/>
    <cellWatch r="G38473"/>
    <cellWatch r="G38474"/>
    <cellWatch r="G38475"/>
    <cellWatch r="G38476"/>
    <cellWatch r="G38477"/>
    <cellWatch r="G38478"/>
    <cellWatch r="G38479"/>
    <cellWatch r="G38480"/>
    <cellWatch r="G38481"/>
    <cellWatch r="G38482"/>
    <cellWatch r="G38483"/>
    <cellWatch r="G38484"/>
    <cellWatch r="G38485"/>
    <cellWatch r="G38486"/>
    <cellWatch r="G38487"/>
    <cellWatch r="G38488"/>
    <cellWatch r="G38489"/>
    <cellWatch r="G38490"/>
    <cellWatch r="G38491"/>
    <cellWatch r="G38492"/>
    <cellWatch r="G38493"/>
    <cellWatch r="G38494"/>
    <cellWatch r="G38495"/>
    <cellWatch r="G38496"/>
    <cellWatch r="G38497"/>
    <cellWatch r="G38498"/>
    <cellWatch r="G38499"/>
    <cellWatch r="G38500"/>
    <cellWatch r="G38501"/>
    <cellWatch r="G38502"/>
    <cellWatch r="G38503"/>
    <cellWatch r="G38504"/>
    <cellWatch r="G38505"/>
    <cellWatch r="G38506"/>
    <cellWatch r="G38507"/>
    <cellWatch r="G38508"/>
    <cellWatch r="G38509"/>
    <cellWatch r="G38510"/>
    <cellWatch r="G38511"/>
    <cellWatch r="G38512"/>
    <cellWatch r="G38513"/>
    <cellWatch r="G38514"/>
    <cellWatch r="G38515"/>
    <cellWatch r="G38516"/>
    <cellWatch r="G38517"/>
    <cellWatch r="G38518"/>
    <cellWatch r="G38519"/>
    <cellWatch r="G38520"/>
    <cellWatch r="G38521"/>
    <cellWatch r="G38522"/>
    <cellWatch r="G38523"/>
    <cellWatch r="G38524"/>
    <cellWatch r="G38525"/>
    <cellWatch r="G38526"/>
    <cellWatch r="G38527"/>
    <cellWatch r="G38528"/>
    <cellWatch r="G38529"/>
    <cellWatch r="G38530"/>
    <cellWatch r="G38531"/>
    <cellWatch r="G38532"/>
    <cellWatch r="G38533"/>
    <cellWatch r="G38534"/>
    <cellWatch r="G38535"/>
    <cellWatch r="G38536"/>
    <cellWatch r="G38537"/>
    <cellWatch r="G38538"/>
    <cellWatch r="G38539"/>
    <cellWatch r="G38540"/>
    <cellWatch r="G38541"/>
    <cellWatch r="G38542"/>
    <cellWatch r="G38543"/>
    <cellWatch r="G38544"/>
    <cellWatch r="G38545"/>
    <cellWatch r="G38546"/>
    <cellWatch r="G38547"/>
    <cellWatch r="G38548"/>
    <cellWatch r="G38549"/>
    <cellWatch r="G38550"/>
    <cellWatch r="G38551"/>
    <cellWatch r="G38552"/>
    <cellWatch r="G38553"/>
    <cellWatch r="G38554"/>
    <cellWatch r="G38555"/>
    <cellWatch r="G38556"/>
    <cellWatch r="G38557"/>
    <cellWatch r="G38558"/>
    <cellWatch r="G38559"/>
    <cellWatch r="G38560"/>
    <cellWatch r="G38561"/>
    <cellWatch r="G38562"/>
    <cellWatch r="G38563"/>
    <cellWatch r="G38564"/>
    <cellWatch r="G38565"/>
    <cellWatch r="G38566"/>
    <cellWatch r="G38567"/>
    <cellWatch r="G38568"/>
    <cellWatch r="G38569"/>
    <cellWatch r="G38570"/>
    <cellWatch r="G38571"/>
    <cellWatch r="G38572"/>
    <cellWatch r="G38573"/>
    <cellWatch r="G38574"/>
    <cellWatch r="G38575"/>
    <cellWatch r="G38576"/>
    <cellWatch r="G38577"/>
    <cellWatch r="G38578"/>
    <cellWatch r="G38579"/>
    <cellWatch r="G38580"/>
    <cellWatch r="G38581"/>
    <cellWatch r="G38582"/>
    <cellWatch r="G38583"/>
    <cellWatch r="G38584"/>
    <cellWatch r="G38585"/>
    <cellWatch r="G38586"/>
    <cellWatch r="G38587"/>
    <cellWatch r="G38588"/>
    <cellWatch r="G38589"/>
    <cellWatch r="G38590"/>
    <cellWatch r="G38591"/>
    <cellWatch r="G38592"/>
    <cellWatch r="G38593"/>
    <cellWatch r="G38594"/>
    <cellWatch r="G38595"/>
    <cellWatch r="G38596"/>
    <cellWatch r="G38597"/>
    <cellWatch r="G38598"/>
    <cellWatch r="G38599"/>
    <cellWatch r="G38600"/>
    <cellWatch r="G38601"/>
    <cellWatch r="G38602"/>
    <cellWatch r="G38603"/>
    <cellWatch r="G38604"/>
    <cellWatch r="G38605"/>
    <cellWatch r="G38606"/>
    <cellWatch r="G38607"/>
    <cellWatch r="G38608"/>
    <cellWatch r="G38609"/>
    <cellWatch r="G38610"/>
    <cellWatch r="G38611"/>
    <cellWatch r="G38612"/>
    <cellWatch r="G38613"/>
    <cellWatch r="G38614"/>
    <cellWatch r="G38615"/>
    <cellWatch r="G38616"/>
    <cellWatch r="G38617"/>
    <cellWatch r="G38618"/>
    <cellWatch r="G38619"/>
    <cellWatch r="G38620"/>
    <cellWatch r="G38621"/>
    <cellWatch r="G38622"/>
    <cellWatch r="G38623"/>
    <cellWatch r="G38624"/>
    <cellWatch r="G38625"/>
    <cellWatch r="G38626"/>
    <cellWatch r="G38627"/>
    <cellWatch r="G38628"/>
    <cellWatch r="G38629"/>
    <cellWatch r="G38630"/>
    <cellWatch r="G38631"/>
    <cellWatch r="G38632"/>
    <cellWatch r="G38633"/>
    <cellWatch r="G38634"/>
    <cellWatch r="G38635"/>
    <cellWatch r="G38636"/>
    <cellWatch r="G38637"/>
    <cellWatch r="G38638"/>
    <cellWatch r="G38639"/>
    <cellWatch r="G38640"/>
    <cellWatch r="G38641"/>
    <cellWatch r="G38642"/>
    <cellWatch r="G38643"/>
    <cellWatch r="G38644"/>
    <cellWatch r="G38645"/>
    <cellWatch r="G38646"/>
    <cellWatch r="G38647"/>
    <cellWatch r="G38648"/>
    <cellWatch r="G38649"/>
    <cellWatch r="G38650"/>
    <cellWatch r="G38651"/>
    <cellWatch r="G38652"/>
    <cellWatch r="G38653"/>
    <cellWatch r="G38654"/>
    <cellWatch r="G38655"/>
    <cellWatch r="G38656"/>
    <cellWatch r="G38657"/>
    <cellWatch r="G38658"/>
    <cellWatch r="G38659"/>
    <cellWatch r="G38660"/>
    <cellWatch r="G38661"/>
    <cellWatch r="G38662"/>
    <cellWatch r="G38663"/>
    <cellWatch r="G38664"/>
    <cellWatch r="G38665"/>
    <cellWatch r="G38666"/>
    <cellWatch r="G38667"/>
    <cellWatch r="G38668"/>
    <cellWatch r="G38669"/>
    <cellWatch r="G38670"/>
    <cellWatch r="G38671"/>
    <cellWatch r="G38672"/>
    <cellWatch r="G38673"/>
    <cellWatch r="G38674"/>
    <cellWatch r="G38675"/>
    <cellWatch r="G38676"/>
    <cellWatch r="G38677"/>
    <cellWatch r="G38678"/>
    <cellWatch r="G38679"/>
    <cellWatch r="G38680"/>
    <cellWatch r="G38681"/>
    <cellWatch r="G38682"/>
    <cellWatch r="G38683"/>
    <cellWatch r="G38684"/>
    <cellWatch r="G38685"/>
    <cellWatch r="G38686"/>
    <cellWatch r="G38687"/>
    <cellWatch r="G38688"/>
    <cellWatch r="G38689"/>
    <cellWatch r="G38690"/>
    <cellWatch r="G38691"/>
    <cellWatch r="G38692"/>
    <cellWatch r="G38693"/>
    <cellWatch r="G38694"/>
    <cellWatch r="G38695"/>
    <cellWatch r="G38696"/>
    <cellWatch r="G38697"/>
    <cellWatch r="G38698"/>
    <cellWatch r="G38699"/>
    <cellWatch r="G38700"/>
    <cellWatch r="G38701"/>
    <cellWatch r="G38702"/>
    <cellWatch r="G38703"/>
    <cellWatch r="G38704"/>
    <cellWatch r="G38705"/>
    <cellWatch r="G38706"/>
    <cellWatch r="G38707"/>
    <cellWatch r="G38708"/>
    <cellWatch r="G38709"/>
    <cellWatch r="G38710"/>
    <cellWatch r="G38711"/>
    <cellWatch r="G38712"/>
    <cellWatch r="G38713"/>
    <cellWatch r="G38714"/>
    <cellWatch r="G38715"/>
    <cellWatch r="G38716"/>
    <cellWatch r="G38717"/>
    <cellWatch r="G38718"/>
    <cellWatch r="G38719"/>
    <cellWatch r="G38720"/>
    <cellWatch r="G38721"/>
    <cellWatch r="G38722"/>
    <cellWatch r="G38723"/>
    <cellWatch r="G38724"/>
    <cellWatch r="G38725"/>
    <cellWatch r="G38726"/>
    <cellWatch r="G38727"/>
    <cellWatch r="G38728"/>
    <cellWatch r="G38729"/>
    <cellWatch r="G38730"/>
    <cellWatch r="G38731"/>
    <cellWatch r="G38732"/>
    <cellWatch r="G38733"/>
    <cellWatch r="G38734"/>
    <cellWatch r="G38735"/>
    <cellWatch r="G38736"/>
    <cellWatch r="G38737"/>
    <cellWatch r="G38738"/>
    <cellWatch r="G38739"/>
    <cellWatch r="G38740"/>
    <cellWatch r="G38741"/>
    <cellWatch r="G38742"/>
    <cellWatch r="G38743"/>
    <cellWatch r="G38744"/>
    <cellWatch r="G38745"/>
    <cellWatch r="G38746"/>
    <cellWatch r="G38747"/>
    <cellWatch r="G38748"/>
    <cellWatch r="G38749"/>
    <cellWatch r="G38750"/>
    <cellWatch r="G38751"/>
    <cellWatch r="G38752"/>
    <cellWatch r="G38753"/>
    <cellWatch r="G38754"/>
    <cellWatch r="G38755"/>
    <cellWatch r="G38756"/>
    <cellWatch r="G38757"/>
    <cellWatch r="G38758"/>
    <cellWatch r="G38759"/>
    <cellWatch r="G38760"/>
    <cellWatch r="G38761"/>
    <cellWatch r="G38762"/>
    <cellWatch r="G38763"/>
    <cellWatch r="G38764"/>
    <cellWatch r="G38765"/>
    <cellWatch r="G38766"/>
    <cellWatch r="G38767"/>
    <cellWatch r="G38768"/>
    <cellWatch r="G38769"/>
    <cellWatch r="G38770"/>
    <cellWatch r="G38771"/>
    <cellWatch r="G38772"/>
    <cellWatch r="G38773"/>
    <cellWatch r="G38774"/>
    <cellWatch r="G38775"/>
    <cellWatch r="G38776"/>
    <cellWatch r="G38777"/>
    <cellWatch r="G38778"/>
    <cellWatch r="G38779"/>
    <cellWatch r="G38780"/>
    <cellWatch r="G38781"/>
    <cellWatch r="G38782"/>
    <cellWatch r="G38783"/>
    <cellWatch r="G38784"/>
    <cellWatch r="G38785"/>
    <cellWatch r="G38786"/>
    <cellWatch r="G38787"/>
    <cellWatch r="G38788"/>
    <cellWatch r="G38789"/>
    <cellWatch r="G38790"/>
    <cellWatch r="G38791"/>
    <cellWatch r="G38792"/>
    <cellWatch r="G38793"/>
    <cellWatch r="G38794"/>
    <cellWatch r="G38795"/>
    <cellWatch r="G38796"/>
    <cellWatch r="G38797"/>
    <cellWatch r="G38798"/>
    <cellWatch r="G38799"/>
    <cellWatch r="G38800"/>
    <cellWatch r="G38801"/>
    <cellWatch r="G38802"/>
    <cellWatch r="G38803"/>
    <cellWatch r="G38804"/>
    <cellWatch r="G38805"/>
    <cellWatch r="G38806"/>
    <cellWatch r="G38807"/>
    <cellWatch r="G38808"/>
    <cellWatch r="G38809"/>
    <cellWatch r="G38810"/>
    <cellWatch r="G38811"/>
    <cellWatch r="G38812"/>
    <cellWatch r="G38813"/>
    <cellWatch r="G38814"/>
    <cellWatch r="G38815"/>
    <cellWatch r="G38816"/>
    <cellWatch r="G38817"/>
    <cellWatch r="G38818"/>
    <cellWatch r="G38819"/>
    <cellWatch r="G38820"/>
    <cellWatch r="G38821"/>
    <cellWatch r="G38822"/>
    <cellWatch r="G38823"/>
    <cellWatch r="G38824"/>
    <cellWatch r="G38825"/>
    <cellWatch r="G38826"/>
    <cellWatch r="G38827"/>
    <cellWatch r="G38828"/>
    <cellWatch r="G38829"/>
    <cellWatch r="G38830"/>
    <cellWatch r="G38831"/>
    <cellWatch r="G38832"/>
    <cellWatch r="G38833"/>
    <cellWatch r="G38834"/>
    <cellWatch r="G38835"/>
    <cellWatch r="G38836"/>
    <cellWatch r="G38837"/>
    <cellWatch r="G38838"/>
    <cellWatch r="G38839"/>
    <cellWatch r="G38840"/>
    <cellWatch r="G38841"/>
    <cellWatch r="G38842"/>
    <cellWatch r="G38843"/>
    <cellWatch r="G38844"/>
    <cellWatch r="G38845"/>
    <cellWatch r="G38846"/>
    <cellWatch r="G38847"/>
    <cellWatch r="G38848"/>
    <cellWatch r="G38849"/>
    <cellWatch r="G38850"/>
    <cellWatch r="G38851"/>
    <cellWatch r="G38852"/>
    <cellWatch r="G38853"/>
    <cellWatch r="G38854"/>
    <cellWatch r="G38855"/>
    <cellWatch r="G38856"/>
    <cellWatch r="G38857"/>
    <cellWatch r="G38858"/>
    <cellWatch r="G38859"/>
    <cellWatch r="G38860"/>
    <cellWatch r="G38861"/>
    <cellWatch r="G38862"/>
    <cellWatch r="G38863"/>
    <cellWatch r="G38864"/>
    <cellWatch r="G38865"/>
    <cellWatch r="G38866"/>
    <cellWatch r="G38867"/>
    <cellWatch r="G38868"/>
    <cellWatch r="G38869"/>
    <cellWatch r="G38870"/>
    <cellWatch r="G38871"/>
    <cellWatch r="G38872"/>
    <cellWatch r="G38873"/>
    <cellWatch r="G38874"/>
    <cellWatch r="G38875"/>
    <cellWatch r="G38876"/>
    <cellWatch r="G38877"/>
    <cellWatch r="G38878"/>
    <cellWatch r="G38879"/>
    <cellWatch r="G38880"/>
    <cellWatch r="G38881"/>
    <cellWatch r="G38882"/>
    <cellWatch r="G38883"/>
    <cellWatch r="G38884"/>
    <cellWatch r="G38885"/>
    <cellWatch r="G38886"/>
    <cellWatch r="G38887"/>
    <cellWatch r="G38888"/>
    <cellWatch r="G38889"/>
    <cellWatch r="G38890"/>
    <cellWatch r="G38891"/>
    <cellWatch r="G38892"/>
    <cellWatch r="G38893"/>
    <cellWatch r="G38894"/>
    <cellWatch r="G38895"/>
    <cellWatch r="G38896"/>
    <cellWatch r="G38897"/>
    <cellWatch r="G38898"/>
    <cellWatch r="G38899"/>
    <cellWatch r="G38900"/>
    <cellWatch r="G38901"/>
    <cellWatch r="G38902"/>
    <cellWatch r="G38903"/>
    <cellWatch r="G38904"/>
    <cellWatch r="G38905"/>
    <cellWatch r="G38906"/>
    <cellWatch r="G38907"/>
    <cellWatch r="G38908"/>
    <cellWatch r="G38909"/>
    <cellWatch r="G38910"/>
    <cellWatch r="G38911"/>
    <cellWatch r="G38912"/>
    <cellWatch r="G38913"/>
    <cellWatch r="G38914"/>
    <cellWatch r="G38915"/>
    <cellWatch r="G38916"/>
    <cellWatch r="G38917"/>
    <cellWatch r="G38918"/>
    <cellWatch r="G38919"/>
    <cellWatch r="G38920"/>
    <cellWatch r="G38921"/>
    <cellWatch r="G38922"/>
    <cellWatch r="G38923"/>
    <cellWatch r="G38924"/>
    <cellWatch r="G38925"/>
    <cellWatch r="G38926"/>
    <cellWatch r="G38927"/>
    <cellWatch r="G38928"/>
    <cellWatch r="G38929"/>
    <cellWatch r="G38930"/>
    <cellWatch r="G38931"/>
    <cellWatch r="G38932"/>
    <cellWatch r="G38933"/>
    <cellWatch r="G38934"/>
    <cellWatch r="G38935"/>
    <cellWatch r="G38936"/>
    <cellWatch r="G38937"/>
    <cellWatch r="G38938"/>
    <cellWatch r="G38939"/>
    <cellWatch r="G38940"/>
    <cellWatch r="G38941"/>
    <cellWatch r="G38942"/>
    <cellWatch r="G38943"/>
    <cellWatch r="G38944"/>
    <cellWatch r="G38945"/>
    <cellWatch r="G38946"/>
    <cellWatch r="G38947"/>
    <cellWatch r="G38948"/>
    <cellWatch r="G38949"/>
    <cellWatch r="G38950"/>
    <cellWatch r="G38951"/>
    <cellWatch r="G38952"/>
    <cellWatch r="G38953"/>
    <cellWatch r="G38954"/>
    <cellWatch r="G38955"/>
    <cellWatch r="G38956"/>
    <cellWatch r="G38957"/>
    <cellWatch r="G38958"/>
    <cellWatch r="G38959"/>
    <cellWatch r="G38960"/>
    <cellWatch r="G38961"/>
    <cellWatch r="G38962"/>
    <cellWatch r="G38963"/>
    <cellWatch r="G38964"/>
    <cellWatch r="G38965"/>
    <cellWatch r="G38966"/>
    <cellWatch r="G38967"/>
    <cellWatch r="G38968"/>
    <cellWatch r="G38969"/>
    <cellWatch r="G38970"/>
    <cellWatch r="G38971"/>
    <cellWatch r="G38972"/>
    <cellWatch r="G38973"/>
    <cellWatch r="G38974"/>
    <cellWatch r="G38975"/>
    <cellWatch r="G38976"/>
    <cellWatch r="G38977"/>
    <cellWatch r="G38978"/>
    <cellWatch r="G38979"/>
    <cellWatch r="G38980"/>
    <cellWatch r="G38981"/>
    <cellWatch r="G38982"/>
    <cellWatch r="G38983"/>
    <cellWatch r="G38984"/>
    <cellWatch r="G38985"/>
    <cellWatch r="G38986"/>
    <cellWatch r="G38987"/>
    <cellWatch r="G38988"/>
    <cellWatch r="G38989"/>
    <cellWatch r="G38990"/>
    <cellWatch r="G38991"/>
    <cellWatch r="G38992"/>
    <cellWatch r="G38993"/>
    <cellWatch r="G38994"/>
    <cellWatch r="G38995"/>
    <cellWatch r="G38996"/>
    <cellWatch r="G38997"/>
    <cellWatch r="G38998"/>
    <cellWatch r="G38999"/>
    <cellWatch r="G39000"/>
    <cellWatch r="G39001"/>
    <cellWatch r="G39002"/>
    <cellWatch r="G39003"/>
    <cellWatch r="G39004"/>
    <cellWatch r="G39005"/>
    <cellWatch r="G39006"/>
    <cellWatch r="G39007"/>
    <cellWatch r="G39008"/>
    <cellWatch r="G39009"/>
    <cellWatch r="G39010"/>
    <cellWatch r="G39011"/>
    <cellWatch r="G39012"/>
    <cellWatch r="G39013"/>
    <cellWatch r="G39014"/>
    <cellWatch r="G39015"/>
    <cellWatch r="G39016"/>
    <cellWatch r="G39017"/>
    <cellWatch r="G39018"/>
    <cellWatch r="G39019"/>
    <cellWatch r="G39020"/>
    <cellWatch r="G39021"/>
    <cellWatch r="G39022"/>
    <cellWatch r="G39023"/>
    <cellWatch r="G39024"/>
    <cellWatch r="G39025"/>
    <cellWatch r="G39026"/>
    <cellWatch r="G39027"/>
    <cellWatch r="G39028"/>
    <cellWatch r="G39029"/>
    <cellWatch r="G39030"/>
    <cellWatch r="G39031"/>
    <cellWatch r="G39032"/>
    <cellWatch r="G39033"/>
    <cellWatch r="G39034"/>
    <cellWatch r="G39035"/>
    <cellWatch r="G39036"/>
    <cellWatch r="G39037"/>
    <cellWatch r="G39038"/>
    <cellWatch r="G39039"/>
    <cellWatch r="G39040"/>
    <cellWatch r="G39041"/>
    <cellWatch r="G39042"/>
    <cellWatch r="G39043"/>
    <cellWatch r="G39044"/>
    <cellWatch r="G39045"/>
    <cellWatch r="G39046"/>
    <cellWatch r="G39047"/>
    <cellWatch r="G39048"/>
    <cellWatch r="G39049"/>
    <cellWatch r="G39050"/>
    <cellWatch r="G39051"/>
    <cellWatch r="G39052"/>
    <cellWatch r="G39053"/>
    <cellWatch r="G39054"/>
    <cellWatch r="G39055"/>
    <cellWatch r="G39056"/>
    <cellWatch r="G39057"/>
    <cellWatch r="G39058"/>
    <cellWatch r="G39059"/>
    <cellWatch r="G39060"/>
    <cellWatch r="G39061"/>
    <cellWatch r="G39062"/>
    <cellWatch r="G39063"/>
    <cellWatch r="G39064"/>
    <cellWatch r="G39065"/>
    <cellWatch r="G39066"/>
    <cellWatch r="G39067"/>
    <cellWatch r="G39068"/>
    <cellWatch r="G39069"/>
    <cellWatch r="G39070"/>
    <cellWatch r="G39071"/>
    <cellWatch r="G39072"/>
    <cellWatch r="G39073"/>
    <cellWatch r="G39074"/>
    <cellWatch r="G39075"/>
    <cellWatch r="G39076"/>
    <cellWatch r="G39077"/>
    <cellWatch r="G39078"/>
    <cellWatch r="G39079"/>
    <cellWatch r="G39080"/>
    <cellWatch r="G39081"/>
    <cellWatch r="G39082"/>
    <cellWatch r="G39083"/>
    <cellWatch r="G39084"/>
    <cellWatch r="G39085"/>
    <cellWatch r="G39086"/>
    <cellWatch r="G39087"/>
    <cellWatch r="G39088"/>
    <cellWatch r="G39089"/>
    <cellWatch r="G39090"/>
    <cellWatch r="G39091"/>
    <cellWatch r="G39092"/>
    <cellWatch r="G39093"/>
    <cellWatch r="G39094"/>
    <cellWatch r="G39095"/>
    <cellWatch r="G39096"/>
    <cellWatch r="G39097"/>
    <cellWatch r="G39098"/>
    <cellWatch r="G39099"/>
    <cellWatch r="G39100"/>
    <cellWatch r="G39101"/>
    <cellWatch r="G39102"/>
    <cellWatch r="G39103"/>
    <cellWatch r="G39104"/>
    <cellWatch r="G39105"/>
    <cellWatch r="G39106"/>
    <cellWatch r="G39107"/>
    <cellWatch r="G39108"/>
    <cellWatch r="G39109"/>
    <cellWatch r="G39110"/>
    <cellWatch r="G39111"/>
    <cellWatch r="G39112"/>
    <cellWatch r="G39113"/>
    <cellWatch r="G39114"/>
    <cellWatch r="G39115"/>
    <cellWatch r="G39116"/>
    <cellWatch r="G39117"/>
    <cellWatch r="G39118"/>
    <cellWatch r="G39119"/>
    <cellWatch r="G39120"/>
    <cellWatch r="G39121"/>
    <cellWatch r="G39122"/>
    <cellWatch r="G39123"/>
    <cellWatch r="G39124"/>
    <cellWatch r="G39125"/>
    <cellWatch r="G39126"/>
    <cellWatch r="G39127"/>
    <cellWatch r="G39128"/>
    <cellWatch r="G39129"/>
    <cellWatch r="G39130"/>
    <cellWatch r="G39131"/>
    <cellWatch r="G39132"/>
    <cellWatch r="G39133"/>
    <cellWatch r="G39134"/>
    <cellWatch r="G39135"/>
    <cellWatch r="G39136"/>
    <cellWatch r="G39137"/>
    <cellWatch r="G39138"/>
    <cellWatch r="G39139"/>
    <cellWatch r="G39140"/>
    <cellWatch r="G39141"/>
    <cellWatch r="G39142"/>
    <cellWatch r="G39143"/>
    <cellWatch r="G39144"/>
    <cellWatch r="G39145"/>
    <cellWatch r="G39146"/>
    <cellWatch r="G39147"/>
    <cellWatch r="G39148"/>
    <cellWatch r="G39149"/>
    <cellWatch r="G39150"/>
    <cellWatch r="G39151"/>
    <cellWatch r="G39152"/>
    <cellWatch r="G39153"/>
    <cellWatch r="G39154"/>
    <cellWatch r="G39155"/>
    <cellWatch r="G39156"/>
    <cellWatch r="G39157"/>
    <cellWatch r="G39158"/>
    <cellWatch r="G39159"/>
    <cellWatch r="G39160"/>
    <cellWatch r="G39161"/>
    <cellWatch r="G39162"/>
    <cellWatch r="G39163"/>
    <cellWatch r="G39164"/>
    <cellWatch r="G39165"/>
    <cellWatch r="G39166"/>
    <cellWatch r="G39167"/>
    <cellWatch r="G39168"/>
    <cellWatch r="G39169"/>
    <cellWatch r="G39170"/>
    <cellWatch r="G39171"/>
    <cellWatch r="G39172"/>
    <cellWatch r="G39173"/>
    <cellWatch r="G39174"/>
    <cellWatch r="G39175"/>
    <cellWatch r="G39176"/>
    <cellWatch r="G39177"/>
    <cellWatch r="G39178"/>
    <cellWatch r="G39179"/>
    <cellWatch r="G39180"/>
    <cellWatch r="G39181"/>
    <cellWatch r="G39182"/>
    <cellWatch r="G39183"/>
    <cellWatch r="G39184"/>
    <cellWatch r="G39185"/>
    <cellWatch r="G39186"/>
    <cellWatch r="G39187"/>
    <cellWatch r="G39188"/>
    <cellWatch r="G39189"/>
    <cellWatch r="G39190"/>
    <cellWatch r="G39191"/>
    <cellWatch r="G39192"/>
    <cellWatch r="G39193"/>
    <cellWatch r="G39194"/>
    <cellWatch r="G39195"/>
    <cellWatch r="G39196"/>
    <cellWatch r="G39197"/>
    <cellWatch r="G39198"/>
    <cellWatch r="G39199"/>
    <cellWatch r="G39200"/>
    <cellWatch r="G39201"/>
    <cellWatch r="G39202"/>
    <cellWatch r="G39203"/>
    <cellWatch r="G39204"/>
    <cellWatch r="G39205"/>
    <cellWatch r="G39206"/>
    <cellWatch r="G39207"/>
    <cellWatch r="G39208"/>
    <cellWatch r="G39209"/>
    <cellWatch r="G39210"/>
    <cellWatch r="G39211"/>
    <cellWatch r="G39212"/>
    <cellWatch r="G39213"/>
    <cellWatch r="G39214"/>
    <cellWatch r="G39215"/>
    <cellWatch r="G39216"/>
    <cellWatch r="G39217"/>
    <cellWatch r="G39218"/>
    <cellWatch r="G39219"/>
    <cellWatch r="G39220"/>
    <cellWatch r="G39221"/>
    <cellWatch r="G39222"/>
    <cellWatch r="G39223"/>
    <cellWatch r="G39224"/>
    <cellWatch r="G39225"/>
    <cellWatch r="G39226"/>
    <cellWatch r="G39227"/>
    <cellWatch r="G39228"/>
    <cellWatch r="G39229"/>
    <cellWatch r="G39230"/>
    <cellWatch r="G39231"/>
    <cellWatch r="G39232"/>
    <cellWatch r="G39233"/>
    <cellWatch r="G39234"/>
    <cellWatch r="G39235"/>
    <cellWatch r="G39236"/>
    <cellWatch r="G39237"/>
    <cellWatch r="G39238"/>
    <cellWatch r="G39239"/>
    <cellWatch r="G39240"/>
    <cellWatch r="G39241"/>
    <cellWatch r="G39242"/>
    <cellWatch r="G39243"/>
    <cellWatch r="G39244"/>
    <cellWatch r="G39245"/>
    <cellWatch r="G39246"/>
    <cellWatch r="G39247"/>
    <cellWatch r="G39248"/>
    <cellWatch r="G39249"/>
    <cellWatch r="G39250"/>
    <cellWatch r="G39251"/>
    <cellWatch r="G39252"/>
    <cellWatch r="G39253"/>
    <cellWatch r="G39254"/>
    <cellWatch r="G39255"/>
    <cellWatch r="G39256"/>
    <cellWatch r="G39257"/>
    <cellWatch r="G39258"/>
    <cellWatch r="G39259"/>
    <cellWatch r="G39260"/>
    <cellWatch r="G39261"/>
    <cellWatch r="G39262"/>
    <cellWatch r="G39263"/>
    <cellWatch r="G39264"/>
    <cellWatch r="G39265"/>
    <cellWatch r="G39266"/>
    <cellWatch r="G39267"/>
    <cellWatch r="G39268"/>
    <cellWatch r="G39269"/>
    <cellWatch r="G39270"/>
    <cellWatch r="G39271"/>
    <cellWatch r="G39272"/>
    <cellWatch r="G39273"/>
    <cellWatch r="G39274"/>
    <cellWatch r="G39275"/>
    <cellWatch r="G39276"/>
    <cellWatch r="G39277"/>
    <cellWatch r="G39278"/>
    <cellWatch r="G39279"/>
    <cellWatch r="G39280"/>
    <cellWatch r="G39281"/>
    <cellWatch r="G39282"/>
    <cellWatch r="G39283"/>
    <cellWatch r="G39284"/>
    <cellWatch r="G39285"/>
    <cellWatch r="G39286"/>
    <cellWatch r="G39287"/>
    <cellWatch r="G39288"/>
    <cellWatch r="G39289"/>
    <cellWatch r="G39290"/>
    <cellWatch r="G39291"/>
    <cellWatch r="G39292"/>
    <cellWatch r="G39293"/>
    <cellWatch r="G39294"/>
    <cellWatch r="G39295"/>
    <cellWatch r="G39296"/>
    <cellWatch r="G39297"/>
    <cellWatch r="G39298"/>
    <cellWatch r="G39299"/>
    <cellWatch r="G39300"/>
    <cellWatch r="G39301"/>
    <cellWatch r="G39302"/>
    <cellWatch r="G39303"/>
    <cellWatch r="G39304"/>
    <cellWatch r="G39305"/>
    <cellWatch r="G39306"/>
    <cellWatch r="G39307"/>
    <cellWatch r="G39308"/>
    <cellWatch r="G39309"/>
    <cellWatch r="G39310"/>
    <cellWatch r="G39311"/>
    <cellWatch r="G39312"/>
    <cellWatch r="G39313"/>
    <cellWatch r="G39314"/>
    <cellWatch r="G39315"/>
    <cellWatch r="G39316"/>
    <cellWatch r="G39317"/>
    <cellWatch r="G39318"/>
    <cellWatch r="G39319"/>
    <cellWatch r="G39320"/>
    <cellWatch r="G39321"/>
    <cellWatch r="G39322"/>
    <cellWatch r="G39323"/>
    <cellWatch r="G39324"/>
    <cellWatch r="G39325"/>
    <cellWatch r="G39326"/>
    <cellWatch r="G39327"/>
    <cellWatch r="G39328"/>
    <cellWatch r="G39329"/>
    <cellWatch r="G39330"/>
    <cellWatch r="G39331"/>
    <cellWatch r="G39332"/>
    <cellWatch r="G39333"/>
    <cellWatch r="G39334"/>
    <cellWatch r="G39335"/>
    <cellWatch r="G39336"/>
    <cellWatch r="G39337"/>
    <cellWatch r="G39338"/>
    <cellWatch r="G39339"/>
    <cellWatch r="G39340"/>
    <cellWatch r="G39341"/>
    <cellWatch r="G39342"/>
    <cellWatch r="G39343"/>
    <cellWatch r="G39344"/>
    <cellWatch r="G39345"/>
    <cellWatch r="G39346"/>
    <cellWatch r="G39347"/>
    <cellWatch r="G39348"/>
    <cellWatch r="G39349"/>
    <cellWatch r="G39350"/>
    <cellWatch r="G39351"/>
    <cellWatch r="G39352"/>
    <cellWatch r="G39353"/>
    <cellWatch r="G39354"/>
    <cellWatch r="G39355"/>
    <cellWatch r="G39356"/>
    <cellWatch r="G39357"/>
    <cellWatch r="G39358"/>
    <cellWatch r="G39359"/>
    <cellWatch r="G39360"/>
    <cellWatch r="G39361"/>
    <cellWatch r="G39362"/>
    <cellWatch r="G39363"/>
    <cellWatch r="G39364"/>
    <cellWatch r="G39365"/>
    <cellWatch r="G39366"/>
    <cellWatch r="G39367"/>
    <cellWatch r="G39368"/>
    <cellWatch r="G39369"/>
    <cellWatch r="G39370"/>
    <cellWatch r="G39371"/>
    <cellWatch r="G39372"/>
    <cellWatch r="G39373"/>
    <cellWatch r="G39374"/>
    <cellWatch r="G39375"/>
    <cellWatch r="G39376"/>
    <cellWatch r="G39377"/>
    <cellWatch r="G39378"/>
    <cellWatch r="G39379"/>
    <cellWatch r="G39380"/>
    <cellWatch r="G39381"/>
    <cellWatch r="G39382"/>
    <cellWatch r="G39383"/>
    <cellWatch r="G39384"/>
    <cellWatch r="G39385"/>
    <cellWatch r="G39386"/>
    <cellWatch r="G39387"/>
    <cellWatch r="G39388"/>
    <cellWatch r="G39389"/>
    <cellWatch r="G39390"/>
    <cellWatch r="G39391"/>
    <cellWatch r="G39392"/>
    <cellWatch r="G39393"/>
    <cellWatch r="G39394"/>
    <cellWatch r="G39395"/>
    <cellWatch r="G39396"/>
    <cellWatch r="G39397"/>
    <cellWatch r="G39398"/>
    <cellWatch r="G39399"/>
    <cellWatch r="G39400"/>
    <cellWatch r="G39401"/>
    <cellWatch r="G39402"/>
    <cellWatch r="G39403"/>
    <cellWatch r="G39404"/>
    <cellWatch r="G39405"/>
    <cellWatch r="G39406"/>
    <cellWatch r="G39407"/>
    <cellWatch r="G39408"/>
    <cellWatch r="G39409"/>
    <cellWatch r="G39410"/>
    <cellWatch r="G39411"/>
    <cellWatch r="G39412"/>
    <cellWatch r="G39413"/>
    <cellWatch r="G39414"/>
    <cellWatch r="G39415"/>
    <cellWatch r="G39416"/>
    <cellWatch r="G39417"/>
    <cellWatch r="G39418"/>
    <cellWatch r="G39419"/>
    <cellWatch r="G39420"/>
    <cellWatch r="G39421"/>
    <cellWatch r="G39422"/>
    <cellWatch r="G39423"/>
    <cellWatch r="G39424"/>
    <cellWatch r="G39425"/>
    <cellWatch r="G39426"/>
    <cellWatch r="G39427"/>
    <cellWatch r="G39428"/>
    <cellWatch r="G39429"/>
    <cellWatch r="G39430"/>
    <cellWatch r="G39431"/>
    <cellWatch r="G39432"/>
    <cellWatch r="G39433"/>
    <cellWatch r="G39434"/>
    <cellWatch r="G39435"/>
    <cellWatch r="G39436"/>
    <cellWatch r="G39437"/>
    <cellWatch r="G39438"/>
    <cellWatch r="G39439"/>
    <cellWatch r="G39440"/>
    <cellWatch r="G39441"/>
    <cellWatch r="G39442"/>
    <cellWatch r="G39443"/>
    <cellWatch r="G39444"/>
    <cellWatch r="G39445"/>
    <cellWatch r="G39446"/>
    <cellWatch r="G39447"/>
    <cellWatch r="G39448"/>
    <cellWatch r="G39449"/>
    <cellWatch r="G39450"/>
    <cellWatch r="G39451"/>
    <cellWatch r="G39452"/>
    <cellWatch r="G39453"/>
    <cellWatch r="G39454"/>
    <cellWatch r="G39455"/>
    <cellWatch r="G39456"/>
    <cellWatch r="G39457"/>
    <cellWatch r="G39458"/>
    <cellWatch r="G39459"/>
    <cellWatch r="G39460"/>
    <cellWatch r="G39461"/>
    <cellWatch r="G39462"/>
    <cellWatch r="G39463"/>
    <cellWatch r="G39464"/>
    <cellWatch r="G39465"/>
    <cellWatch r="G39466"/>
    <cellWatch r="G39467"/>
    <cellWatch r="G39468"/>
    <cellWatch r="G39469"/>
    <cellWatch r="G39470"/>
    <cellWatch r="G39471"/>
    <cellWatch r="G39472"/>
    <cellWatch r="G39473"/>
    <cellWatch r="G39474"/>
    <cellWatch r="G39475"/>
    <cellWatch r="G39476"/>
    <cellWatch r="G39477"/>
    <cellWatch r="G39478"/>
    <cellWatch r="G39479"/>
    <cellWatch r="G39480"/>
    <cellWatch r="G39481"/>
    <cellWatch r="G39482"/>
    <cellWatch r="G39483"/>
    <cellWatch r="G39484"/>
    <cellWatch r="G39485"/>
    <cellWatch r="G39486"/>
    <cellWatch r="G39487"/>
    <cellWatch r="G39488"/>
    <cellWatch r="G39489"/>
    <cellWatch r="G39490"/>
    <cellWatch r="G39491"/>
    <cellWatch r="G39492"/>
    <cellWatch r="G39493"/>
    <cellWatch r="G39494"/>
    <cellWatch r="G39495"/>
    <cellWatch r="G39496"/>
    <cellWatch r="G39497"/>
    <cellWatch r="G39498"/>
    <cellWatch r="G39499"/>
    <cellWatch r="G39500"/>
    <cellWatch r="G39501"/>
    <cellWatch r="G39502"/>
    <cellWatch r="G39503"/>
    <cellWatch r="G39504"/>
    <cellWatch r="G39505"/>
    <cellWatch r="G39506"/>
    <cellWatch r="G39507"/>
    <cellWatch r="G39508"/>
    <cellWatch r="G39509"/>
    <cellWatch r="G39510"/>
    <cellWatch r="G39511"/>
    <cellWatch r="G39512"/>
    <cellWatch r="G39513"/>
    <cellWatch r="G39514"/>
    <cellWatch r="G39515"/>
    <cellWatch r="G39516"/>
    <cellWatch r="G39517"/>
    <cellWatch r="G39518"/>
    <cellWatch r="G39519"/>
    <cellWatch r="G39520"/>
    <cellWatch r="G39521"/>
    <cellWatch r="G39522"/>
    <cellWatch r="G39523"/>
    <cellWatch r="G39524"/>
    <cellWatch r="G39525"/>
    <cellWatch r="G39526"/>
    <cellWatch r="G39527"/>
    <cellWatch r="G39528"/>
    <cellWatch r="G39529"/>
    <cellWatch r="G39530"/>
    <cellWatch r="G39531"/>
    <cellWatch r="G39532"/>
    <cellWatch r="G39533"/>
    <cellWatch r="G39534"/>
    <cellWatch r="G39535"/>
    <cellWatch r="G39536"/>
    <cellWatch r="G39537"/>
    <cellWatch r="G39538"/>
    <cellWatch r="G39539"/>
    <cellWatch r="G39540"/>
    <cellWatch r="G39541"/>
    <cellWatch r="G39542"/>
    <cellWatch r="G39543"/>
    <cellWatch r="G39544"/>
    <cellWatch r="G39545"/>
    <cellWatch r="G39546"/>
    <cellWatch r="G39547"/>
    <cellWatch r="G39548"/>
    <cellWatch r="G39549"/>
    <cellWatch r="G39550"/>
    <cellWatch r="G39551"/>
    <cellWatch r="G39552"/>
    <cellWatch r="G39553"/>
    <cellWatch r="G39554"/>
    <cellWatch r="G39555"/>
    <cellWatch r="G39556"/>
    <cellWatch r="G39557"/>
    <cellWatch r="G39558"/>
    <cellWatch r="G39559"/>
    <cellWatch r="G39560"/>
    <cellWatch r="G39561"/>
    <cellWatch r="G39562"/>
    <cellWatch r="G39563"/>
    <cellWatch r="G39564"/>
    <cellWatch r="G39565"/>
    <cellWatch r="G39566"/>
    <cellWatch r="G39567"/>
    <cellWatch r="G39568"/>
    <cellWatch r="G39569"/>
    <cellWatch r="G39570"/>
    <cellWatch r="G39571"/>
    <cellWatch r="G39572"/>
    <cellWatch r="G39573"/>
    <cellWatch r="G39574"/>
    <cellWatch r="G39575"/>
    <cellWatch r="G39576"/>
    <cellWatch r="G39577"/>
    <cellWatch r="G39578"/>
    <cellWatch r="G39579"/>
    <cellWatch r="G39580"/>
    <cellWatch r="G39581"/>
    <cellWatch r="G39582"/>
    <cellWatch r="G39583"/>
    <cellWatch r="G39584"/>
    <cellWatch r="G39585"/>
    <cellWatch r="G39586"/>
    <cellWatch r="G39587"/>
    <cellWatch r="G39588"/>
    <cellWatch r="G39589"/>
    <cellWatch r="G39590"/>
    <cellWatch r="G39591"/>
    <cellWatch r="G39592"/>
    <cellWatch r="G39593"/>
    <cellWatch r="G39594"/>
    <cellWatch r="G39595"/>
    <cellWatch r="G39596"/>
    <cellWatch r="G39597"/>
    <cellWatch r="G39598"/>
    <cellWatch r="G39599"/>
    <cellWatch r="G39600"/>
    <cellWatch r="G39601"/>
    <cellWatch r="G39602"/>
    <cellWatch r="G39603"/>
    <cellWatch r="G39604"/>
    <cellWatch r="G39605"/>
    <cellWatch r="G39606"/>
    <cellWatch r="G39607"/>
    <cellWatch r="G39608"/>
    <cellWatch r="G39609"/>
    <cellWatch r="G39610"/>
    <cellWatch r="G39611"/>
    <cellWatch r="G39612"/>
    <cellWatch r="G39613"/>
    <cellWatch r="G39614"/>
    <cellWatch r="G39615"/>
    <cellWatch r="G39616"/>
    <cellWatch r="G39617"/>
    <cellWatch r="G39618"/>
    <cellWatch r="G39619"/>
    <cellWatch r="G39620"/>
    <cellWatch r="G39621"/>
    <cellWatch r="G39622"/>
    <cellWatch r="G39623"/>
    <cellWatch r="G39624"/>
    <cellWatch r="G39625"/>
    <cellWatch r="G39626"/>
    <cellWatch r="G39627"/>
    <cellWatch r="G39628"/>
    <cellWatch r="G39629"/>
    <cellWatch r="G39630"/>
    <cellWatch r="G39631"/>
    <cellWatch r="G39632"/>
    <cellWatch r="G39633"/>
    <cellWatch r="G39634"/>
    <cellWatch r="G39635"/>
    <cellWatch r="G39636"/>
    <cellWatch r="G39637"/>
    <cellWatch r="G39638"/>
    <cellWatch r="G39639"/>
    <cellWatch r="G39640"/>
    <cellWatch r="G39641"/>
    <cellWatch r="G39642"/>
    <cellWatch r="G39643"/>
    <cellWatch r="G39644"/>
    <cellWatch r="G39645"/>
    <cellWatch r="G39646"/>
    <cellWatch r="G39647"/>
    <cellWatch r="G39648"/>
    <cellWatch r="G39649"/>
    <cellWatch r="G39650"/>
    <cellWatch r="G39651"/>
    <cellWatch r="G39652"/>
    <cellWatch r="G39653"/>
    <cellWatch r="G39654"/>
    <cellWatch r="G39655"/>
    <cellWatch r="G39656"/>
    <cellWatch r="G39657"/>
    <cellWatch r="G39658"/>
    <cellWatch r="G39659"/>
    <cellWatch r="G39660"/>
    <cellWatch r="G39661"/>
    <cellWatch r="G39662"/>
    <cellWatch r="G39663"/>
    <cellWatch r="G39664"/>
    <cellWatch r="G39665"/>
    <cellWatch r="G39666"/>
    <cellWatch r="G39667"/>
    <cellWatch r="G39668"/>
    <cellWatch r="G39669"/>
    <cellWatch r="G39670"/>
    <cellWatch r="G39671"/>
    <cellWatch r="G39672"/>
    <cellWatch r="G39673"/>
    <cellWatch r="G39674"/>
    <cellWatch r="G39675"/>
    <cellWatch r="G39676"/>
    <cellWatch r="G39677"/>
    <cellWatch r="G39678"/>
    <cellWatch r="G39679"/>
    <cellWatch r="G39680"/>
    <cellWatch r="G39681"/>
    <cellWatch r="G39682"/>
    <cellWatch r="G39683"/>
    <cellWatch r="G39684"/>
    <cellWatch r="G39685"/>
    <cellWatch r="G39686"/>
    <cellWatch r="G39687"/>
    <cellWatch r="G39688"/>
    <cellWatch r="G39689"/>
    <cellWatch r="G39690"/>
    <cellWatch r="G39691"/>
    <cellWatch r="G39692"/>
    <cellWatch r="G39693"/>
    <cellWatch r="G39694"/>
    <cellWatch r="G39695"/>
    <cellWatch r="G39696"/>
    <cellWatch r="G39697"/>
    <cellWatch r="G39698"/>
    <cellWatch r="G39699"/>
    <cellWatch r="G39700"/>
    <cellWatch r="G39701"/>
    <cellWatch r="G39702"/>
    <cellWatch r="G39703"/>
    <cellWatch r="G39704"/>
    <cellWatch r="G39705"/>
    <cellWatch r="G39706"/>
    <cellWatch r="G39707"/>
    <cellWatch r="G39708"/>
    <cellWatch r="G39709"/>
    <cellWatch r="G39710"/>
    <cellWatch r="G39711"/>
    <cellWatch r="G39712"/>
    <cellWatch r="G39713"/>
    <cellWatch r="G39714"/>
    <cellWatch r="G39715"/>
    <cellWatch r="G39716"/>
    <cellWatch r="G39717"/>
    <cellWatch r="G39718"/>
    <cellWatch r="G39719"/>
    <cellWatch r="G39720"/>
    <cellWatch r="G39721"/>
    <cellWatch r="G39722"/>
    <cellWatch r="G39723"/>
    <cellWatch r="G39724"/>
    <cellWatch r="G39725"/>
    <cellWatch r="G39726"/>
    <cellWatch r="G39727"/>
    <cellWatch r="G39728"/>
    <cellWatch r="G39729"/>
    <cellWatch r="G39730"/>
    <cellWatch r="G39731"/>
    <cellWatch r="G39732"/>
    <cellWatch r="G39733"/>
    <cellWatch r="G39734"/>
    <cellWatch r="G39735"/>
    <cellWatch r="G39736"/>
    <cellWatch r="G39737"/>
    <cellWatch r="G39738"/>
    <cellWatch r="G39739"/>
    <cellWatch r="G39740"/>
    <cellWatch r="G39741"/>
    <cellWatch r="G39742"/>
    <cellWatch r="G39743"/>
    <cellWatch r="G39744"/>
    <cellWatch r="G39745"/>
    <cellWatch r="G39746"/>
    <cellWatch r="G39747"/>
    <cellWatch r="G39748"/>
    <cellWatch r="G39749"/>
    <cellWatch r="G39750"/>
    <cellWatch r="G39751"/>
    <cellWatch r="G39752"/>
    <cellWatch r="G39753"/>
    <cellWatch r="G39754"/>
    <cellWatch r="G39755"/>
    <cellWatch r="G39756"/>
    <cellWatch r="G39757"/>
    <cellWatch r="G39758"/>
    <cellWatch r="G39759"/>
    <cellWatch r="G39760"/>
    <cellWatch r="G39761"/>
    <cellWatch r="G39762"/>
    <cellWatch r="G39763"/>
    <cellWatch r="G39764"/>
    <cellWatch r="G39765"/>
    <cellWatch r="G39766"/>
    <cellWatch r="G39767"/>
    <cellWatch r="G39768"/>
    <cellWatch r="G39769"/>
    <cellWatch r="G39770"/>
    <cellWatch r="G39771"/>
    <cellWatch r="G39772"/>
    <cellWatch r="G39773"/>
    <cellWatch r="G39774"/>
    <cellWatch r="G39775"/>
    <cellWatch r="G39776"/>
    <cellWatch r="G39777"/>
    <cellWatch r="G39778"/>
    <cellWatch r="G39779"/>
    <cellWatch r="G39780"/>
    <cellWatch r="G39781"/>
    <cellWatch r="G39782"/>
    <cellWatch r="G39783"/>
    <cellWatch r="G39784"/>
    <cellWatch r="G39785"/>
    <cellWatch r="G39786"/>
    <cellWatch r="G39787"/>
    <cellWatch r="G39788"/>
    <cellWatch r="G39789"/>
    <cellWatch r="G39790"/>
    <cellWatch r="G39791"/>
    <cellWatch r="G39792"/>
    <cellWatch r="G39793"/>
    <cellWatch r="G39794"/>
    <cellWatch r="G39795"/>
    <cellWatch r="G39796"/>
    <cellWatch r="G39797"/>
    <cellWatch r="G39798"/>
    <cellWatch r="G39799"/>
    <cellWatch r="G39800"/>
    <cellWatch r="G39801"/>
    <cellWatch r="G39802"/>
    <cellWatch r="G39803"/>
    <cellWatch r="G39804"/>
    <cellWatch r="G39805"/>
    <cellWatch r="G39806"/>
    <cellWatch r="G39807"/>
    <cellWatch r="G39808"/>
    <cellWatch r="G39809"/>
    <cellWatch r="G39810"/>
    <cellWatch r="G39811"/>
    <cellWatch r="G39812"/>
    <cellWatch r="G39813"/>
    <cellWatch r="G39814"/>
    <cellWatch r="G39815"/>
    <cellWatch r="G39816"/>
    <cellWatch r="G39817"/>
    <cellWatch r="G39818"/>
    <cellWatch r="G39819"/>
    <cellWatch r="G39820"/>
    <cellWatch r="G39821"/>
    <cellWatch r="G39822"/>
    <cellWatch r="G39823"/>
    <cellWatch r="G39824"/>
    <cellWatch r="G39825"/>
    <cellWatch r="G39826"/>
    <cellWatch r="G39827"/>
    <cellWatch r="G39828"/>
    <cellWatch r="G39829"/>
    <cellWatch r="G39830"/>
    <cellWatch r="G39831"/>
    <cellWatch r="G39832"/>
    <cellWatch r="G39833"/>
    <cellWatch r="G39834"/>
    <cellWatch r="G39835"/>
    <cellWatch r="G39836"/>
    <cellWatch r="G39837"/>
    <cellWatch r="G39838"/>
    <cellWatch r="G39839"/>
    <cellWatch r="G39840"/>
    <cellWatch r="G39841"/>
    <cellWatch r="G39842"/>
    <cellWatch r="G39843"/>
    <cellWatch r="G39844"/>
    <cellWatch r="G39845"/>
    <cellWatch r="G39846"/>
    <cellWatch r="G39847"/>
    <cellWatch r="G39848"/>
    <cellWatch r="G39849"/>
    <cellWatch r="G39850"/>
    <cellWatch r="G39851"/>
    <cellWatch r="G39852"/>
    <cellWatch r="G39853"/>
    <cellWatch r="G39854"/>
    <cellWatch r="G39855"/>
    <cellWatch r="G39856"/>
    <cellWatch r="G39857"/>
    <cellWatch r="G39858"/>
    <cellWatch r="G39859"/>
    <cellWatch r="G39860"/>
    <cellWatch r="G39861"/>
    <cellWatch r="G39862"/>
    <cellWatch r="G39863"/>
    <cellWatch r="G39864"/>
    <cellWatch r="G39865"/>
    <cellWatch r="G39866"/>
    <cellWatch r="G39867"/>
    <cellWatch r="G39868"/>
    <cellWatch r="G39869"/>
    <cellWatch r="G39870"/>
    <cellWatch r="G39871"/>
    <cellWatch r="G39872"/>
    <cellWatch r="G39873"/>
    <cellWatch r="G39874"/>
    <cellWatch r="G39875"/>
    <cellWatch r="G39876"/>
    <cellWatch r="G39877"/>
    <cellWatch r="G39878"/>
    <cellWatch r="G39879"/>
    <cellWatch r="G39880"/>
    <cellWatch r="G39881"/>
    <cellWatch r="G39882"/>
    <cellWatch r="G39883"/>
    <cellWatch r="G39884"/>
    <cellWatch r="G39885"/>
    <cellWatch r="G39886"/>
    <cellWatch r="G39887"/>
    <cellWatch r="G39888"/>
    <cellWatch r="G39889"/>
    <cellWatch r="G39890"/>
    <cellWatch r="G39891"/>
    <cellWatch r="G39892"/>
    <cellWatch r="G39893"/>
    <cellWatch r="G39894"/>
    <cellWatch r="G39895"/>
    <cellWatch r="G39896"/>
    <cellWatch r="G39897"/>
    <cellWatch r="G39898"/>
    <cellWatch r="G39899"/>
    <cellWatch r="G39900"/>
    <cellWatch r="G39901"/>
    <cellWatch r="G39902"/>
    <cellWatch r="G39903"/>
    <cellWatch r="G39904"/>
    <cellWatch r="G39905"/>
    <cellWatch r="G39906"/>
    <cellWatch r="G39907"/>
    <cellWatch r="G39908"/>
    <cellWatch r="G39909"/>
    <cellWatch r="G39910"/>
    <cellWatch r="G39911"/>
    <cellWatch r="G39912"/>
    <cellWatch r="G39913"/>
    <cellWatch r="G39914"/>
    <cellWatch r="G39915"/>
    <cellWatch r="G39916"/>
    <cellWatch r="G39917"/>
    <cellWatch r="G39918"/>
    <cellWatch r="G39919"/>
    <cellWatch r="G39920"/>
    <cellWatch r="G39921"/>
    <cellWatch r="G39922"/>
    <cellWatch r="G39923"/>
    <cellWatch r="G39924"/>
    <cellWatch r="G39925"/>
    <cellWatch r="G39926"/>
    <cellWatch r="G39927"/>
    <cellWatch r="G39928"/>
    <cellWatch r="G39929"/>
    <cellWatch r="G39930"/>
    <cellWatch r="G39931"/>
    <cellWatch r="G39932"/>
    <cellWatch r="G39933"/>
    <cellWatch r="G39934"/>
    <cellWatch r="G39935"/>
    <cellWatch r="G39936"/>
    <cellWatch r="G39937"/>
    <cellWatch r="G39938"/>
    <cellWatch r="G39939"/>
    <cellWatch r="G39940"/>
    <cellWatch r="G39941"/>
    <cellWatch r="G39942"/>
    <cellWatch r="G39943"/>
    <cellWatch r="G39944"/>
    <cellWatch r="G39945"/>
    <cellWatch r="G39946"/>
    <cellWatch r="G39947"/>
    <cellWatch r="G39948"/>
    <cellWatch r="G39949"/>
    <cellWatch r="G39950"/>
    <cellWatch r="G39951"/>
    <cellWatch r="G39952"/>
    <cellWatch r="G39953"/>
    <cellWatch r="G39954"/>
    <cellWatch r="G39955"/>
    <cellWatch r="G39956"/>
    <cellWatch r="G39957"/>
    <cellWatch r="G39958"/>
    <cellWatch r="G39959"/>
    <cellWatch r="G39960"/>
    <cellWatch r="G39961"/>
    <cellWatch r="G39962"/>
    <cellWatch r="G39963"/>
    <cellWatch r="G39964"/>
    <cellWatch r="G39965"/>
    <cellWatch r="G39966"/>
    <cellWatch r="G39967"/>
    <cellWatch r="G39968"/>
    <cellWatch r="G39969"/>
    <cellWatch r="G39970"/>
    <cellWatch r="G39971"/>
    <cellWatch r="G39972"/>
    <cellWatch r="G39973"/>
    <cellWatch r="G39974"/>
    <cellWatch r="G39975"/>
    <cellWatch r="G39976"/>
    <cellWatch r="G39977"/>
    <cellWatch r="G39978"/>
    <cellWatch r="G39979"/>
    <cellWatch r="G39980"/>
    <cellWatch r="G39981"/>
    <cellWatch r="G39982"/>
    <cellWatch r="G39983"/>
    <cellWatch r="G39984"/>
    <cellWatch r="G39985"/>
    <cellWatch r="G39986"/>
    <cellWatch r="G39987"/>
    <cellWatch r="G39988"/>
    <cellWatch r="G39989"/>
    <cellWatch r="G39990"/>
    <cellWatch r="G39991"/>
    <cellWatch r="G39992"/>
    <cellWatch r="G39993"/>
    <cellWatch r="G39994"/>
    <cellWatch r="G39995"/>
    <cellWatch r="G39996"/>
    <cellWatch r="G39997"/>
    <cellWatch r="G39998"/>
    <cellWatch r="G39999"/>
    <cellWatch r="G40000"/>
    <cellWatch r="G40001"/>
    <cellWatch r="G40002"/>
    <cellWatch r="G40003"/>
    <cellWatch r="G40004"/>
    <cellWatch r="G40005"/>
    <cellWatch r="G40006"/>
    <cellWatch r="G40007"/>
    <cellWatch r="G40008"/>
    <cellWatch r="G40009"/>
    <cellWatch r="G40010"/>
    <cellWatch r="G40011"/>
    <cellWatch r="G40012"/>
    <cellWatch r="G40013"/>
    <cellWatch r="G40014"/>
    <cellWatch r="G40015"/>
    <cellWatch r="G40016"/>
    <cellWatch r="G40017"/>
    <cellWatch r="G40018"/>
    <cellWatch r="G40019"/>
    <cellWatch r="G40020"/>
    <cellWatch r="G40021"/>
    <cellWatch r="G40022"/>
    <cellWatch r="G40023"/>
    <cellWatch r="G40024"/>
    <cellWatch r="G40025"/>
    <cellWatch r="G40026"/>
    <cellWatch r="G40027"/>
    <cellWatch r="G40028"/>
    <cellWatch r="G40029"/>
    <cellWatch r="G40030"/>
    <cellWatch r="G40031"/>
    <cellWatch r="G40032"/>
    <cellWatch r="G40033"/>
    <cellWatch r="G40034"/>
    <cellWatch r="G40035"/>
    <cellWatch r="G40036"/>
    <cellWatch r="G40037"/>
    <cellWatch r="G40038"/>
    <cellWatch r="G40039"/>
    <cellWatch r="G40040"/>
    <cellWatch r="G40041"/>
    <cellWatch r="G40042"/>
    <cellWatch r="G40043"/>
    <cellWatch r="G40044"/>
    <cellWatch r="G40045"/>
    <cellWatch r="G40046"/>
    <cellWatch r="G40047"/>
    <cellWatch r="G40048"/>
    <cellWatch r="G40049"/>
    <cellWatch r="G40050"/>
    <cellWatch r="G40051"/>
    <cellWatch r="G40052"/>
    <cellWatch r="G40053"/>
    <cellWatch r="G40054"/>
    <cellWatch r="G40055"/>
    <cellWatch r="G40056"/>
    <cellWatch r="G40057"/>
    <cellWatch r="G40058"/>
    <cellWatch r="G40059"/>
    <cellWatch r="G40060"/>
    <cellWatch r="G40061"/>
    <cellWatch r="G40062"/>
    <cellWatch r="G40063"/>
    <cellWatch r="G40064"/>
    <cellWatch r="G40065"/>
    <cellWatch r="G40066"/>
    <cellWatch r="G40067"/>
    <cellWatch r="G40068"/>
    <cellWatch r="G40069"/>
    <cellWatch r="G40070"/>
    <cellWatch r="G40071"/>
    <cellWatch r="G40072"/>
    <cellWatch r="G40073"/>
    <cellWatch r="G40074"/>
    <cellWatch r="G40075"/>
    <cellWatch r="G40076"/>
    <cellWatch r="G40077"/>
    <cellWatch r="G40078"/>
    <cellWatch r="G40079"/>
    <cellWatch r="G40080"/>
    <cellWatch r="G40081"/>
    <cellWatch r="G40082"/>
    <cellWatch r="G40083"/>
    <cellWatch r="G40084"/>
    <cellWatch r="G40085"/>
    <cellWatch r="G40086"/>
    <cellWatch r="G40087"/>
    <cellWatch r="G40088"/>
    <cellWatch r="G40089"/>
    <cellWatch r="G40090"/>
    <cellWatch r="G40091"/>
    <cellWatch r="G40092"/>
    <cellWatch r="G40093"/>
    <cellWatch r="G40094"/>
    <cellWatch r="G40095"/>
    <cellWatch r="G40096"/>
    <cellWatch r="G40097"/>
    <cellWatch r="G40098"/>
    <cellWatch r="G40099"/>
    <cellWatch r="G40100"/>
    <cellWatch r="G40101"/>
    <cellWatch r="G40102"/>
    <cellWatch r="G40103"/>
    <cellWatch r="G40104"/>
    <cellWatch r="G40105"/>
    <cellWatch r="G40106"/>
    <cellWatch r="G40107"/>
    <cellWatch r="G40108"/>
    <cellWatch r="G40109"/>
    <cellWatch r="G40110"/>
    <cellWatch r="G40111"/>
    <cellWatch r="G40112"/>
    <cellWatch r="G40113"/>
    <cellWatch r="G40114"/>
    <cellWatch r="G40115"/>
    <cellWatch r="G40116"/>
    <cellWatch r="G40117"/>
    <cellWatch r="G40118"/>
    <cellWatch r="G40119"/>
    <cellWatch r="G40120"/>
    <cellWatch r="G40121"/>
    <cellWatch r="G40122"/>
    <cellWatch r="G40123"/>
    <cellWatch r="G40124"/>
    <cellWatch r="G40125"/>
    <cellWatch r="G40126"/>
    <cellWatch r="G40127"/>
    <cellWatch r="G40128"/>
    <cellWatch r="G40129"/>
    <cellWatch r="G40130"/>
    <cellWatch r="G40131"/>
    <cellWatch r="G40132"/>
    <cellWatch r="G40133"/>
    <cellWatch r="G40134"/>
    <cellWatch r="G40135"/>
    <cellWatch r="G40136"/>
    <cellWatch r="G40137"/>
    <cellWatch r="G40138"/>
    <cellWatch r="G40139"/>
    <cellWatch r="G40140"/>
    <cellWatch r="G40141"/>
    <cellWatch r="G40142"/>
    <cellWatch r="G40143"/>
    <cellWatch r="G40144"/>
    <cellWatch r="G40145"/>
    <cellWatch r="G40146"/>
    <cellWatch r="G40147"/>
    <cellWatch r="G40148"/>
    <cellWatch r="G40149"/>
    <cellWatch r="G40150"/>
    <cellWatch r="G40151"/>
    <cellWatch r="G40152"/>
    <cellWatch r="G40153"/>
    <cellWatch r="G40154"/>
    <cellWatch r="G40155"/>
    <cellWatch r="G40156"/>
    <cellWatch r="G40157"/>
    <cellWatch r="G40158"/>
    <cellWatch r="G40159"/>
    <cellWatch r="G40160"/>
    <cellWatch r="G40161"/>
    <cellWatch r="G40162"/>
    <cellWatch r="G40163"/>
    <cellWatch r="G40164"/>
    <cellWatch r="G40165"/>
    <cellWatch r="G40166"/>
    <cellWatch r="G40167"/>
    <cellWatch r="G40168"/>
    <cellWatch r="G40169"/>
    <cellWatch r="G40170"/>
    <cellWatch r="G40171"/>
    <cellWatch r="G40172"/>
    <cellWatch r="G40173"/>
    <cellWatch r="G40174"/>
    <cellWatch r="G40175"/>
    <cellWatch r="G40176"/>
    <cellWatch r="G40177"/>
    <cellWatch r="G40178"/>
    <cellWatch r="G40179"/>
    <cellWatch r="G40180"/>
    <cellWatch r="G40181"/>
    <cellWatch r="G40182"/>
    <cellWatch r="G40183"/>
    <cellWatch r="G40184"/>
    <cellWatch r="G40185"/>
    <cellWatch r="G40186"/>
    <cellWatch r="G40187"/>
    <cellWatch r="G40188"/>
    <cellWatch r="G40189"/>
    <cellWatch r="G40190"/>
    <cellWatch r="G40191"/>
    <cellWatch r="G40192"/>
    <cellWatch r="G40193"/>
    <cellWatch r="G40194"/>
    <cellWatch r="G40195"/>
    <cellWatch r="G40196"/>
    <cellWatch r="G40197"/>
    <cellWatch r="G40198"/>
    <cellWatch r="G40199"/>
    <cellWatch r="G40200"/>
    <cellWatch r="G40201"/>
    <cellWatch r="G40202"/>
    <cellWatch r="G40203"/>
    <cellWatch r="G40204"/>
    <cellWatch r="G40205"/>
    <cellWatch r="G40206"/>
    <cellWatch r="G40207"/>
    <cellWatch r="G40208"/>
    <cellWatch r="G40209"/>
    <cellWatch r="G40210"/>
    <cellWatch r="G40211"/>
    <cellWatch r="G40212"/>
    <cellWatch r="G40213"/>
    <cellWatch r="G40214"/>
    <cellWatch r="G40215"/>
    <cellWatch r="G40216"/>
    <cellWatch r="G40217"/>
    <cellWatch r="G40218"/>
    <cellWatch r="G40219"/>
    <cellWatch r="G40220"/>
    <cellWatch r="G40221"/>
    <cellWatch r="G40222"/>
    <cellWatch r="G40223"/>
    <cellWatch r="G40224"/>
    <cellWatch r="G40225"/>
    <cellWatch r="G40226"/>
    <cellWatch r="G40227"/>
    <cellWatch r="G40228"/>
    <cellWatch r="G40229"/>
    <cellWatch r="G40230"/>
    <cellWatch r="G40231"/>
    <cellWatch r="G40232"/>
    <cellWatch r="G40233"/>
    <cellWatch r="G40234"/>
    <cellWatch r="G40235"/>
    <cellWatch r="G40236"/>
    <cellWatch r="G40237"/>
    <cellWatch r="G40238"/>
    <cellWatch r="G40239"/>
    <cellWatch r="G40240"/>
    <cellWatch r="G40241"/>
    <cellWatch r="G40242"/>
    <cellWatch r="G40243"/>
    <cellWatch r="G40244"/>
    <cellWatch r="G40245"/>
    <cellWatch r="G40246"/>
    <cellWatch r="G40247"/>
    <cellWatch r="G40248"/>
    <cellWatch r="G40249"/>
    <cellWatch r="G40250"/>
    <cellWatch r="G40251"/>
    <cellWatch r="G40252"/>
    <cellWatch r="G40253"/>
    <cellWatch r="G40254"/>
    <cellWatch r="G40255"/>
    <cellWatch r="G40256"/>
    <cellWatch r="G40257"/>
    <cellWatch r="G40258"/>
    <cellWatch r="G40259"/>
    <cellWatch r="G40260"/>
    <cellWatch r="G40261"/>
    <cellWatch r="G40262"/>
    <cellWatch r="G40263"/>
    <cellWatch r="G40264"/>
    <cellWatch r="G40265"/>
    <cellWatch r="G40266"/>
    <cellWatch r="G40267"/>
    <cellWatch r="G40268"/>
    <cellWatch r="G40269"/>
    <cellWatch r="G40270"/>
    <cellWatch r="G40271"/>
    <cellWatch r="G40272"/>
    <cellWatch r="G40273"/>
    <cellWatch r="G40274"/>
    <cellWatch r="G40275"/>
    <cellWatch r="G40276"/>
    <cellWatch r="G40277"/>
    <cellWatch r="G40278"/>
    <cellWatch r="G40279"/>
    <cellWatch r="G40280"/>
    <cellWatch r="G40281"/>
    <cellWatch r="G40282"/>
    <cellWatch r="G40283"/>
    <cellWatch r="G40284"/>
    <cellWatch r="G40285"/>
    <cellWatch r="G40286"/>
    <cellWatch r="G40287"/>
    <cellWatch r="G40288"/>
    <cellWatch r="G40289"/>
    <cellWatch r="G40290"/>
    <cellWatch r="G40291"/>
    <cellWatch r="G40292"/>
    <cellWatch r="G40293"/>
    <cellWatch r="G40294"/>
    <cellWatch r="G40295"/>
    <cellWatch r="G40296"/>
    <cellWatch r="G40297"/>
    <cellWatch r="G40298"/>
    <cellWatch r="G40299"/>
    <cellWatch r="G40300"/>
    <cellWatch r="G40301"/>
    <cellWatch r="G40302"/>
    <cellWatch r="G40303"/>
    <cellWatch r="G40304"/>
    <cellWatch r="G40305"/>
    <cellWatch r="G40306"/>
    <cellWatch r="G40307"/>
    <cellWatch r="G40308"/>
    <cellWatch r="G40309"/>
    <cellWatch r="G40310"/>
    <cellWatch r="G40311"/>
    <cellWatch r="G40312"/>
    <cellWatch r="G40313"/>
    <cellWatch r="G40314"/>
    <cellWatch r="G40315"/>
    <cellWatch r="G40316"/>
    <cellWatch r="G40317"/>
    <cellWatch r="G40318"/>
    <cellWatch r="G40319"/>
    <cellWatch r="G40320"/>
    <cellWatch r="G40321"/>
    <cellWatch r="G40322"/>
    <cellWatch r="G40323"/>
    <cellWatch r="G40324"/>
    <cellWatch r="G40325"/>
    <cellWatch r="G40326"/>
    <cellWatch r="G40327"/>
    <cellWatch r="G40328"/>
    <cellWatch r="G40329"/>
    <cellWatch r="G40330"/>
    <cellWatch r="G40331"/>
    <cellWatch r="G40332"/>
    <cellWatch r="G40333"/>
    <cellWatch r="G40334"/>
    <cellWatch r="G40335"/>
    <cellWatch r="G40336"/>
    <cellWatch r="G40337"/>
    <cellWatch r="G40338"/>
    <cellWatch r="G40339"/>
    <cellWatch r="G40340"/>
    <cellWatch r="G40341"/>
    <cellWatch r="G40342"/>
    <cellWatch r="G40343"/>
    <cellWatch r="G40344"/>
    <cellWatch r="G40345"/>
    <cellWatch r="G40346"/>
    <cellWatch r="G40347"/>
    <cellWatch r="G40348"/>
    <cellWatch r="G40349"/>
    <cellWatch r="G40350"/>
    <cellWatch r="G40351"/>
    <cellWatch r="G40352"/>
    <cellWatch r="G40353"/>
    <cellWatch r="G40354"/>
    <cellWatch r="G40355"/>
    <cellWatch r="G40356"/>
    <cellWatch r="G40357"/>
    <cellWatch r="G40358"/>
    <cellWatch r="G40359"/>
    <cellWatch r="G40360"/>
    <cellWatch r="G40361"/>
    <cellWatch r="G40362"/>
    <cellWatch r="G40363"/>
    <cellWatch r="G40364"/>
    <cellWatch r="G40365"/>
    <cellWatch r="G40366"/>
    <cellWatch r="G40367"/>
    <cellWatch r="G40368"/>
    <cellWatch r="G40369"/>
    <cellWatch r="G40370"/>
    <cellWatch r="G40371"/>
    <cellWatch r="G40372"/>
    <cellWatch r="G40373"/>
    <cellWatch r="G40374"/>
    <cellWatch r="G40375"/>
    <cellWatch r="G40376"/>
    <cellWatch r="G40377"/>
    <cellWatch r="G40378"/>
    <cellWatch r="G40379"/>
    <cellWatch r="G40380"/>
    <cellWatch r="G40381"/>
    <cellWatch r="G40382"/>
    <cellWatch r="G40383"/>
    <cellWatch r="G40384"/>
    <cellWatch r="G40385"/>
    <cellWatch r="G40386"/>
    <cellWatch r="G40387"/>
    <cellWatch r="G40388"/>
    <cellWatch r="G40389"/>
    <cellWatch r="G40390"/>
    <cellWatch r="G40391"/>
    <cellWatch r="G40392"/>
    <cellWatch r="G40393"/>
    <cellWatch r="G40394"/>
    <cellWatch r="G40395"/>
    <cellWatch r="G40396"/>
    <cellWatch r="G40397"/>
    <cellWatch r="G40398"/>
    <cellWatch r="G40399"/>
    <cellWatch r="G40400"/>
    <cellWatch r="G40401"/>
    <cellWatch r="G40402"/>
    <cellWatch r="G40403"/>
    <cellWatch r="G40404"/>
    <cellWatch r="G40405"/>
    <cellWatch r="G40406"/>
    <cellWatch r="G40407"/>
    <cellWatch r="G40408"/>
    <cellWatch r="G40409"/>
    <cellWatch r="G40410"/>
    <cellWatch r="G40411"/>
    <cellWatch r="G40412"/>
    <cellWatch r="G40413"/>
    <cellWatch r="G40414"/>
    <cellWatch r="G40415"/>
    <cellWatch r="G40416"/>
    <cellWatch r="G40417"/>
    <cellWatch r="G40418"/>
    <cellWatch r="G40419"/>
    <cellWatch r="G40420"/>
    <cellWatch r="G40421"/>
    <cellWatch r="G40422"/>
    <cellWatch r="G40423"/>
    <cellWatch r="G40424"/>
    <cellWatch r="G40425"/>
    <cellWatch r="G40426"/>
    <cellWatch r="G40427"/>
    <cellWatch r="G40428"/>
    <cellWatch r="G40429"/>
    <cellWatch r="G40430"/>
    <cellWatch r="G40431"/>
    <cellWatch r="G40432"/>
    <cellWatch r="G40433"/>
    <cellWatch r="G40434"/>
    <cellWatch r="G40435"/>
    <cellWatch r="G40436"/>
    <cellWatch r="G40437"/>
    <cellWatch r="G40438"/>
    <cellWatch r="G40439"/>
    <cellWatch r="G40440"/>
    <cellWatch r="G40441"/>
    <cellWatch r="G40442"/>
    <cellWatch r="G40443"/>
    <cellWatch r="G40444"/>
    <cellWatch r="G40445"/>
    <cellWatch r="G40446"/>
    <cellWatch r="G40447"/>
    <cellWatch r="G40448"/>
    <cellWatch r="G40449"/>
    <cellWatch r="G40450"/>
    <cellWatch r="G40451"/>
    <cellWatch r="G40452"/>
    <cellWatch r="G40453"/>
    <cellWatch r="G40454"/>
    <cellWatch r="G40455"/>
    <cellWatch r="G40456"/>
    <cellWatch r="G40457"/>
    <cellWatch r="G40458"/>
    <cellWatch r="G40459"/>
    <cellWatch r="G40460"/>
    <cellWatch r="G40461"/>
    <cellWatch r="G40462"/>
    <cellWatch r="G40463"/>
    <cellWatch r="G40464"/>
    <cellWatch r="G40465"/>
    <cellWatch r="G40466"/>
    <cellWatch r="G40467"/>
    <cellWatch r="G40468"/>
    <cellWatch r="G40469"/>
    <cellWatch r="G40470"/>
    <cellWatch r="G40471"/>
    <cellWatch r="G40472"/>
    <cellWatch r="G40473"/>
    <cellWatch r="G40474"/>
    <cellWatch r="G40475"/>
    <cellWatch r="G40476"/>
    <cellWatch r="G40477"/>
    <cellWatch r="G40478"/>
    <cellWatch r="G40479"/>
    <cellWatch r="G40480"/>
    <cellWatch r="G40481"/>
    <cellWatch r="G40482"/>
    <cellWatch r="G40483"/>
    <cellWatch r="G40484"/>
    <cellWatch r="G40485"/>
    <cellWatch r="G40486"/>
    <cellWatch r="G40487"/>
    <cellWatch r="G40488"/>
    <cellWatch r="G40489"/>
    <cellWatch r="G40490"/>
    <cellWatch r="G40491"/>
    <cellWatch r="G40492"/>
    <cellWatch r="G40493"/>
    <cellWatch r="G40494"/>
    <cellWatch r="G40495"/>
    <cellWatch r="G40496"/>
    <cellWatch r="G40497"/>
    <cellWatch r="G40498"/>
    <cellWatch r="G40499"/>
    <cellWatch r="G40500"/>
    <cellWatch r="G40501"/>
    <cellWatch r="G40502"/>
    <cellWatch r="G40503"/>
    <cellWatch r="G40504"/>
    <cellWatch r="G40505"/>
    <cellWatch r="G40506"/>
    <cellWatch r="G40507"/>
    <cellWatch r="G40508"/>
    <cellWatch r="G40509"/>
    <cellWatch r="G40510"/>
    <cellWatch r="G40511"/>
    <cellWatch r="G40512"/>
    <cellWatch r="G40513"/>
    <cellWatch r="G40514"/>
    <cellWatch r="G40515"/>
    <cellWatch r="G40516"/>
    <cellWatch r="G40517"/>
    <cellWatch r="G40518"/>
    <cellWatch r="G40519"/>
    <cellWatch r="G40520"/>
    <cellWatch r="G40521"/>
    <cellWatch r="G40522"/>
    <cellWatch r="G40523"/>
    <cellWatch r="G40524"/>
    <cellWatch r="G40525"/>
    <cellWatch r="G40526"/>
    <cellWatch r="G40527"/>
    <cellWatch r="G40528"/>
    <cellWatch r="G40529"/>
    <cellWatch r="G40530"/>
    <cellWatch r="G40531"/>
    <cellWatch r="G40532"/>
    <cellWatch r="G40533"/>
    <cellWatch r="G40534"/>
    <cellWatch r="G40535"/>
    <cellWatch r="G40536"/>
    <cellWatch r="G40537"/>
    <cellWatch r="G40538"/>
    <cellWatch r="G40539"/>
    <cellWatch r="G40540"/>
    <cellWatch r="G40541"/>
    <cellWatch r="G40542"/>
    <cellWatch r="G40543"/>
    <cellWatch r="G40544"/>
    <cellWatch r="G40545"/>
    <cellWatch r="G40546"/>
    <cellWatch r="G40547"/>
    <cellWatch r="G40548"/>
    <cellWatch r="G40549"/>
    <cellWatch r="G40550"/>
    <cellWatch r="G40551"/>
    <cellWatch r="G40552"/>
    <cellWatch r="G40553"/>
    <cellWatch r="G40554"/>
    <cellWatch r="G40555"/>
    <cellWatch r="G40556"/>
    <cellWatch r="G40557"/>
    <cellWatch r="G40558"/>
    <cellWatch r="G40559"/>
    <cellWatch r="G40560"/>
    <cellWatch r="G40561"/>
    <cellWatch r="G40562"/>
    <cellWatch r="G40563"/>
    <cellWatch r="G40564"/>
    <cellWatch r="G40565"/>
    <cellWatch r="G40566"/>
    <cellWatch r="G40567"/>
    <cellWatch r="G40568"/>
    <cellWatch r="G40569"/>
    <cellWatch r="G40570"/>
    <cellWatch r="G40571"/>
    <cellWatch r="G40572"/>
    <cellWatch r="G40573"/>
    <cellWatch r="G40574"/>
    <cellWatch r="G40575"/>
    <cellWatch r="G40576"/>
    <cellWatch r="G40577"/>
    <cellWatch r="G40578"/>
    <cellWatch r="G40579"/>
    <cellWatch r="G40580"/>
    <cellWatch r="G40581"/>
    <cellWatch r="G40582"/>
    <cellWatch r="G40583"/>
    <cellWatch r="G40584"/>
    <cellWatch r="G40585"/>
    <cellWatch r="G40586"/>
    <cellWatch r="G40587"/>
    <cellWatch r="G40588"/>
    <cellWatch r="G40589"/>
    <cellWatch r="G40590"/>
    <cellWatch r="G40591"/>
    <cellWatch r="G40592"/>
    <cellWatch r="G40593"/>
    <cellWatch r="G40594"/>
    <cellWatch r="G40595"/>
    <cellWatch r="G40596"/>
    <cellWatch r="G40597"/>
    <cellWatch r="G40598"/>
    <cellWatch r="G40599"/>
    <cellWatch r="G40600"/>
    <cellWatch r="G40601"/>
    <cellWatch r="G40602"/>
    <cellWatch r="G40603"/>
    <cellWatch r="G40604"/>
    <cellWatch r="G40605"/>
    <cellWatch r="G40606"/>
    <cellWatch r="G40607"/>
    <cellWatch r="G40608"/>
    <cellWatch r="G40609"/>
    <cellWatch r="G40610"/>
    <cellWatch r="G40611"/>
    <cellWatch r="G40612"/>
    <cellWatch r="G40613"/>
    <cellWatch r="G40614"/>
    <cellWatch r="G40615"/>
    <cellWatch r="G40616"/>
    <cellWatch r="G40617"/>
    <cellWatch r="G40618"/>
    <cellWatch r="G40619"/>
    <cellWatch r="G40620"/>
    <cellWatch r="G40621"/>
    <cellWatch r="G40622"/>
    <cellWatch r="G40623"/>
    <cellWatch r="G40624"/>
    <cellWatch r="G40625"/>
    <cellWatch r="G40626"/>
    <cellWatch r="G40627"/>
    <cellWatch r="G40628"/>
    <cellWatch r="G40629"/>
    <cellWatch r="G40630"/>
    <cellWatch r="G40631"/>
    <cellWatch r="G40632"/>
    <cellWatch r="G40633"/>
    <cellWatch r="G40634"/>
    <cellWatch r="G40635"/>
    <cellWatch r="G40636"/>
    <cellWatch r="G40637"/>
    <cellWatch r="G40638"/>
    <cellWatch r="G40639"/>
    <cellWatch r="G40640"/>
    <cellWatch r="G40641"/>
    <cellWatch r="G40642"/>
    <cellWatch r="G40643"/>
    <cellWatch r="G40644"/>
    <cellWatch r="G40645"/>
    <cellWatch r="G40646"/>
    <cellWatch r="G40647"/>
    <cellWatch r="G40648"/>
    <cellWatch r="G40649"/>
    <cellWatch r="G40650"/>
    <cellWatch r="G40651"/>
    <cellWatch r="G40652"/>
    <cellWatch r="G40653"/>
    <cellWatch r="G40654"/>
    <cellWatch r="G40655"/>
    <cellWatch r="G40656"/>
    <cellWatch r="G40657"/>
    <cellWatch r="G40658"/>
    <cellWatch r="G40659"/>
    <cellWatch r="G40660"/>
    <cellWatch r="G40661"/>
    <cellWatch r="G40662"/>
    <cellWatch r="G40663"/>
    <cellWatch r="G40664"/>
    <cellWatch r="G40665"/>
    <cellWatch r="G40666"/>
    <cellWatch r="G40667"/>
    <cellWatch r="G40668"/>
    <cellWatch r="G40669"/>
    <cellWatch r="G40670"/>
    <cellWatch r="G40671"/>
    <cellWatch r="G40672"/>
    <cellWatch r="G40673"/>
    <cellWatch r="G40674"/>
    <cellWatch r="G40675"/>
    <cellWatch r="G40676"/>
    <cellWatch r="G40677"/>
    <cellWatch r="G40678"/>
    <cellWatch r="G40679"/>
    <cellWatch r="G40680"/>
    <cellWatch r="G40681"/>
    <cellWatch r="G40682"/>
    <cellWatch r="G40683"/>
    <cellWatch r="G40684"/>
    <cellWatch r="G40685"/>
    <cellWatch r="G40686"/>
    <cellWatch r="G40687"/>
    <cellWatch r="G40688"/>
    <cellWatch r="G40689"/>
    <cellWatch r="G40690"/>
    <cellWatch r="G40691"/>
    <cellWatch r="G40692"/>
    <cellWatch r="G40693"/>
    <cellWatch r="G40694"/>
    <cellWatch r="G40695"/>
    <cellWatch r="G40696"/>
    <cellWatch r="G40697"/>
    <cellWatch r="G40698"/>
    <cellWatch r="G40699"/>
    <cellWatch r="G40700"/>
    <cellWatch r="G40701"/>
    <cellWatch r="G40702"/>
    <cellWatch r="G40703"/>
    <cellWatch r="G40704"/>
    <cellWatch r="G40705"/>
    <cellWatch r="G40706"/>
    <cellWatch r="G40707"/>
    <cellWatch r="G40708"/>
    <cellWatch r="G40709"/>
    <cellWatch r="G40710"/>
    <cellWatch r="G40711"/>
    <cellWatch r="G40712"/>
    <cellWatch r="G40713"/>
    <cellWatch r="G40714"/>
    <cellWatch r="G40715"/>
    <cellWatch r="G40716"/>
    <cellWatch r="G40717"/>
    <cellWatch r="G40718"/>
    <cellWatch r="G40719"/>
    <cellWatch r="G40720"/>
    <cellWatch r="G40721"/>
    <cellWatch r="G40722"/>
    <cellWatch r="G40723"/>
    <cellWatch r="G40724"/>
    <cellWatch r="G40725"/>
    <cellWatch r="G40726"/>
    <cellWatch r="G40727"/>
    <cellWatch r="G40728"/>
    <cellWatch r="G40729"/>
    <cellWatch r="G40730"/>
    <cellWatch r="G40731"/>
    <cellWatch r="G40732"/>
    <cellWatch r="G40733"/>
    <cellWatch r="G40734"/>
    <cellWatch r="G40735"/>
    <cellWatch r="G40736"/>
    <cellWatch r="G40737"/>
    <cellWatch r="G40738"/>
    <cellWatch r="G40739"/>
    <cellWatch r="G40740"/>
    <cellWatch r="G40741"/>
    <cellWatch r="G40742"/>
    <cellWatch r="G40743"/>
    <cellWatch r="G40744"/>
    <cellWatch r="G40745"/>
    <cellWatch r="G40746"/>
    <cellWatch r="G40747"/>
    <cellWatch r="G40748"/>
    <cellWatch r="G40749"/>
    <cellWatch r="G40750"/>
    <cellWatch r="G40751"/>
    <cellWatch r="G40752"/>
    <cellWatch r="G40753"/>
    <cellWatch r="G40754"/>
    <cellWatch r="G40755"/>
    <cellWatch r="G40756"/>
    <cellWatch r="G40757"/>
    <cellWatch r="G40758"/>
    <cellWatch r="G40759"/>
    <cellWatch r="G40760"/>
    <cellWatch r="G40761"/>
    <cellWatch r="G40762"/>
    <cellWatch r="G40763"/>
    <cellWatch r="G40764"/>
    <cellWatch r="G40765"/>
    <cellWatch r="G40766"/>
    <cellWatch r="G40767"/>
    <cellWatch r="G40768"/>
    <cellWatch r="G40769"/>
    <cellWatch r="G40770"/>
    <cellWatch r="G40771"/>
    <cellWatch r="G40772"/>
    <cellWatch r="G40773"/>
    <cellWatch r="G40774"/>
    <cellWatch r="G40775"/>
    <cellWatch r="G40776"/>
    <cellWatch r="G40777"/>
    <cellWatch r="G40778"/>
    <cellWatch r="G40779"/>
    <cellWatch r="G40780"/>
    <cellWatch r="G40781"/>
    <cellWatch r="G40782"/>
    <cellWatch r="G40783"/>
    <cellWatch r="G40784"/>
    <cellWatch r="G40785"/>
    <cellWatch r="G40786"/>
    <cellWatch r="G40787"/>
    <cellWatch r="G40788"/>
    <cellWatch r="G40789"/>
    <cellWatch r="G40790"/>
    <cellWatch r="G40791"/>
    <cellWatch r="G40792"/>
    <cellWatch r="G40793"/>
    <cellWatch r="G40794"/>
    <cellWatch r="G40795"/>
    <cellWatch r="G40796"/>
    <cellWatch r="G40797"/>
    <cellWatch r="G40798"/>
    <cellWatch r="G40799"/>
    <cellWatch r="G40800"/>
    <cellWatch r="G40801"/>
    <cellWatch r="G40802"/>
    <cellWatch r="G40803"/>
    <cellWatch r="G40804"/>
    <cellWatch r="G40805"/>
    <cellWatch r="G40806"/>
    <cellWatch r="G40807"/>
    <cellWatch r="G40808"/>
    <cellWatch r="G40809"/>
    <cellWatch r="G40810"/>
    <cellWatch r="G40811"/>
    <cellWatch r="G40812"/>
    <cellWatch r="G40813"/>
    <cellWatch r="G40814"/>
    <cellWatch r="G40815"/>
    <cellWatch r="G40816"/>
    <cellWatch r="G40817"/>
    <cellWatch r="G40818"/>
    <cellWatch r="G40819"/>
    <cellWatch r="G40820"/>
    <cellWatch r="G40821"/>
    <cellWatch r="G40822"/>
    <cellWatch r="G40823"/>
    <cellWatch r="G40824"/>
    <cellWatch r="G40825"/>
    <cellWatch r="G40826"/>
    <cellWatch r="G40827"/>
    <cellWatch r="G40828"/>
    <cellWatch r="G40829"/>
    <cellWatch r="G40830"/>
    <cellWatch r="G40831"/>
    <cellWatch r="G40832"/>
    <cellWatch r="G40833"/>
    <cellWatch r="G40834"/>
    <cellWatch r="G40835"/>
    <cellWatch r="G40836"/>
    <cellWatch r="G40837"/>
    <cellWatch r="G40838"/>
    <cellWatch r="G40839"/>
    <cellWatch r="G40840"/>
    <cellWatch r="G40841"/>
    <cellWatch r="G40842"/>
    <cellWatch r="G40843"/>
    <cellWatch r="G40844"/>
    <cellWatch r="G40845"/>
    <cellWatch r="G40846"/>
    <cellWatch r="G40847"/>
    <cellWatch r="G40848"/>
    <cellWatch r="G40849"/>
    <cellWatch r="G40850"/>
    <cellWatch r="G40851"/>
    <cellWatch r="G40852"/>
    <cellWatch r="G40853"/>
    <cellWatch r="G40854"/>
    <cellWatch r="G40855"/>
    <cellWatch r="G40856"/>
    <cellWatch r="G40857"/>
    <cellWatch r="G40858"/>
    <cellWatch r="G40859"/>
    <cellWatch r="G40860"/>
    <cellWatch r="G40861"/>
    <cellWatch r="G40862"/>
    <cellWatch r="G40863"/>
    <cellWatch r="G40864"/>
    <cellWatch r="G40865"/>
    <cellWatch r="G40866"/>
    <cellWatch r="G40867"/>
    <cellWatch r="G40868"/>
    <cellWatch r="G40869"/>
    <cellWatch r="G40870"/>
    <cellWatch r="G40871"/>
    <cellWatch r="G40872"/>
    <cellWatch r="G40873"/>
    <cellWatch r="G40874"/>
    <cellWatch r="G40875"/>
    <cellWatch r="G40876"/>
    <cellWatch r="G40877"/>
    <cellWatch r="G40878"/>
    <cellWatch r="G40879"/>
    <cellWatch r="G40880"/>
    <cellWatch r="G40881"/>
    <cellWatch r="G40882"/>
    <cellWatch r="G40883"/>
    <cellWatch r="G40884"/>
    <cellWatch r="G40885"/>
    <cellWatch r="G40886"/>
    <cellWatch r="G40887"/>
    <cellWatch r="G40888"/>
    <cellWatch r="G40889"/>
    <cellWatch r="G40890"/>
    <cellWatch r="G40891"/>
    <cellWatch r="G40892"/>
    <cellWatch r="G40893"/>
    <cellWatch r="G40894"/>
    <cellWatch r="G40895"/>
    <cellWatch r="G40896"/>
    <cellWatch r="G40897"/>
    <cellWatch r="G40898"/>
    <cellWatch r="G40899"/>
    <cellWatch r="G40900"/>
    <cellWatch r="G40901"/>
    <cellWatch r="G40902"/>
    <cellWatch r="G40903"/>
    <cellWatch r="G40904"/>
    <cellWatch r="G40905"/>
    <cellWatch r="G40906"/>
    <cellWatch r="G40907"/>
    <cellWatch r="G40908"/>
    <cellWatch r="G40909"/>
    <cellWatch r="G40910"/>
    <cellWatch r="G40911"/>
    <cellWatch r="G40912"/>
    <cellWatch r="G40913"/>
    <cellWatch r="G40914"/>
    <cellWatch r="G40915"/>
    <cellWatch r="G40916"/>
    <cellWatch r="G40917"/>
    <cellWatch r="G40918"/>
    <cellWatch r="G40919"/>
    <cellWatch r="G40920"/>
    <cellWatch r="G40921"/>
    <cellWatch r="G40922"/>
    <cellWatch r="G40923"/>
    <cellWatch r="G40924"/>
    <cellWatch r="G40925"/>
    <cellWatch r="G40926"/>
    <cellWatch r="G40927"/>
    <cellWatch r="G40928"/>
    <cellWatch r="G40929"/>
    <cellWatch r="G40930"/>
    <cellWatch r="G40931"/>
    <cellWatch r="G40932"/>
    <cellWatch r="G40933"/>
    <cellWatch r="G40934"/>
    <cellWatch r="G40935"/>
    <cellWatch r="G40936"/>
    <cellWatch r="G40937"/>
    <cellWatch r="G40938"/>
    <cellWatch r="G40939"/>
    <cellWatch r="G40940"/>
    <cellWatch r="G40941"/>
    <cellWatch r="G40942"/>
    <cellWatch r="G40943"/>
    <cellWatch r="G40944"/>
    <cellWatch r="G40945"/>
    <cellWatch r="G40946"/>
    <cellWatch r="G40947"/>
    <cellWatch r="G40948"/>
    <cellWatch r="G40949"/>
    <cellWatch r="G40950"/>
    <cellWatch r="G40951"/>
    <cellWatch r="G40952"/>
    <cellWatch r="G40953"/>
    <cellWatch r="G40954"/>
    <cellWatch r="G40955"/>
    <cellWatch r="G40956"/>
    <cellWatch r="G40957"/>
    <cellWatch r="G40958"/>
    <cellWatch r="G40959"/>
    <cellWatch r="G40960"/>
    <cellWatch r="G40961"/>
    <cellWatch r="G40962"/>
    <cellWatch r="G40963"/>
    <cellWatch r="G40964"/>
    <cellWatch r="G40965"/>
    <cellWatch r="G40966"/>
    <cellWatch r="G40967"/>
    <cellWatch r="G40968"/>
    <cellWatch r="G40969"/>
    <cellWatch r="G40970"/>
    <cellWatch r="G40971"/>
    <cellWatch r="G40972"/>
    <cellWatch r="G40973"/>
    <cellWatch r="G40974"/>
    <cellWatch r="G40975"/>
    <cellWatch r="G40976"/>
    <cellWatch r="G40977"/>
    <cellWatch r="G40978"/>
    <cellWatch r="G40979"/>
    <cellWatch r="G40980"/>
    <cellWatch r="G40981"/>
    <cellWatch r="G40982"/>
    <cellWatch r="G40983"/>
    <cellWatch r="G40984"/>
    <cellWatch r="G40985"/>
    <cellWatch r="G40986"/>
    <cellWatch r="G40987"/>
    <cellWatch r="G40988"/>
    <cellWatch r="G40989"/>
    <cellWatch r="G40990"/>
    <cellWatch r="G40991"/>
    <cellWatch r="G40992"/>
    <cellWatch r="G40993"/>
    <cellWatch r="G40994"/>
    <cellWatch r="G40995"/>
    <cellWatch r="G40996"/>
    <cellWatch r="G40997"/>
    <cellWatch r="G40998"/>
    <cellWatch r="G40999"/>
    <cellWatch r="G41000"/>
    <cellWatch r="G41001"/>
    <cellWatch r="G41002"/>
    <cellWatch r="G41003"/>
    <cellWatch r="G41004"/>
    <cellWatch r="G41005"/>
    <cellWatch r="G41006"/>
    <cellWatch r="G41007"/>
    <cellWatch r="G41008"/>
    <cellWatch r="G41009"/>
    <cellWatch r="G41010"/>
    <cellWatch r="G41011"/>
    <cellWatch r="G41012"/>
    <cellWatch r="G41013"/>
    <cellWatch r="G41014"/>
    <cellWatch r="G41015"/>
    <cellWatch r="G41016"/>
    <cellWatch r="G41017"/>
    <cellWatch r="G41018"/>
    <cellWatch r="G41019"/>
    <cellWatch r="G41020"/>
    <cellWatch r="G41021"/>
    <cellWatch r="G41022"/>
    <cellWatch r="G41023"/>
    <cellWatch r="G41024"/>
    <cellWatch r="G41025"/>
    <cellWatch r="G41026"/>
    <cellWatch r="G41027"/>
    <cellWatch r="G41028"/>
    <cellWatch r="G41029"/>
    <cellWatch r="G41030"/>
    <cellWatch r="G41031"/>
    <cellWatch r="G41032"/>
    <cellWatch r="G41033"/>
    <cellWatch r="G41034"/>
    <cellWatch r="G41035"/>
    <cellWatch r="G41036"/>
    <cellWatch r="G41037"/>
    <cellWatch r="G41038"/>
    <cellWatch r="G41039"/>
    <cellWatch r="G41040"/>
    <cellWatch r="G41041"/>
    <cellWatch r="G41042"/>
    <cellWatch r="G41043"/>
    <cellWatch r="G41044"/>
    <cellWatch r="G41045"/>
    <cellWatch r="G41046"/>
    <cellWatch r="G41047"/>
    <cellWatch r="G41048"/>
    <cellWatch r="G41049"/>
    <cellWatch r="G41050"/>
    <cellWatch r="G41051"/>
    <cellWatch r="G41052"/>
    <cellWatch r="G41053"/>
    <cellWatch r="G41054"/>
    <cellWatch r="G41055"/>
    <cellWatch r="G41056"/>
    <cellWatch r="G41057"/>
    <cellWatch r="G41058"/>
    <cellWatch r="G41059"/>
    <cellWatch r="G41060"/>
    <cellWatch r="G41061"/>
    <cellWatch r="G41062"/>
    <cellWatch r="G41063"/>
    <cellWatch r="G41064"/>
    <cellWatch r="G41065"/>
    <cellWatch r="G41066"/>
    <cellWatch r="G41067"/>
    <cellWatch r="G41068"/>
    <cellWatch r="G41069"/>
    <cellWatch r="G41070"/>
    <cellWatch r="G41071"/>
    <cellWatch r="G41072"/>
    <cellWatch r="G41073"/>
    <cellWatch r="G41074"/>
    <cellWatch r="G41075"/>
    <cellWatch r="G41076"/>
    <cellWatch r="G41077"/>
    <cellWatch r="G41078"/>
    <cellWatch r="G41079"/>
    <cellWatch r="G41080"/>
    <cellWatch r="G41081"/>
    <cellWatch r="G41082"/>
    <cellWatch r="G41083"/>
    <cellWatch r="G41084"/>
    <cellWatch r="G41085"/>
    <cellWatch r="G41086"/>
    <cellWatch r="G41087"/>
    <cellWatch r="G41088"/>
    <cellWatch r="G41089"/>
    <cellWatch r="G41090"/>
    <cellWatch r="G41091"/>
    <cellWatch r="G41092"/>
    <cellWatch r="G41093"/>
    <cellWatch r="G41094"/>
    <cellWatch r="G41095"/>
    <cellWatch r="G41096"/>
    <cellWatch r="G41097"/>
    <cellWatch r="G41098"/>
    <cellWatch r="G41099"/>
    <cellWatch r="G41100"/>
    <cellWatch r="G41101"/>
    <cellWatch r="G41102"/>
    <cellWatch r="G41103"/>
    <cellWatch r="G41104"/>
    <cellWatch r="G41105"/>
    <cellWatch r="G41106"/>
    <cellWatch r="G41107"/>
    <cellWatch r="G41108"/>
    <cellWatch r="G41109"/>
    <cellWatch r="G41110"/>
    <cellWatch r="G41111"/>
    <cellWatch r="G41112"/>
    <cellWatch r="G41113"/>
    <cellWatch r="G41114"/>
    <cellWatch r="G41115"/>
    <cellWatch r="G41116"/>
    <cellWatch r="G41117"/>
    <cellWatch r="G41118"/>
    <cellWatch r="G41119"/>
    <cellWatch r="G41120"/>
    <cellWatch r="G41121"/>
    <cellWatch r="G41122"/>
    <cellWatch r="G41123"/>
    <cellWatch r="G41124"/>
    <cellWatch r="G41125"/>
    <cellWatch r="G41126"/>
    <cellWatch r="G41127"/>
    <cellWatch r="G41128"/>
    <cellWatch r="G41129"/>
    <cellWatch r="G41130"/>
    <cellWatch r="G41131"/>
    <cellWatch r="G41132"/>
    <cellWatch r="G41133"/>
    <cellWatch r="G41134"/>
    <cellWatch r="G41135"/>
    <cellWatch r="G41136"/>
    <cellWatch r="G41137"/>
    <cellWatch r="G41138"/>
    <cellWatch r="G41139"/>
    <cellWatch r="G41140"/>
    <cellWatch r="G41141"/>
    <cellWatch r="G41142"/>
    <cellWatch r="G41143"/>
    <cellWatch r="G41144"/>
    <cellWatch r="G41145"/>
    <cellWatch r="G41146"/>
    <cellWatch r="G41147"/>
    <cellWatch r="G41148"/>
    <cellWatch r="G41149"/>
    <cellWatch r="G41150"/>
    <cellWatch r="G41151"/>
    <cellWatch r="G41152"/>
    <cellWatch r="G41153"/>
    <cellWatch r="G41154"/>
    <cellWatch r="G41155"/>
    <cellWatch r="G41156"/>
    <cellWatch r="G41157"/>
    <cellWatch r="G41158"/>
    <cellWatch r="G41159"/>
    <cellWatch r="G41160"/>
    <cellWatch r="G41161"/>
    <cellWatch r="G41162"/>
    <cellWatch r="G41163"/>
    <cellWatch r="G41164"/>
    <cellWatch r="G41165"/>
    <cellWatch r="G41166"/>
    <cellWatch r="G41167"/>
    <cellWatch r="G41168"/>
    <cellWatch r="G41169"/>
    <cellWatch r="G41170"/>
    <cellWatch r="G41171"/>
    <cellWatch r="G41172"/>
    <cellWatch r="G41173"/>
    <cellWatch r="G41174"/>
    <cellWatch r="G41175"/>
    <cellWatch r="G41176"/>
    <cellWatch r="G41177"/>
    <cellWatch r="G41178"/>
    <cellWatch r="G41179"/>
    <cellWatch r="G41180"/>
    <cellWatch r="G41181"/>
    <cellWatch r="G41182"/>
    <cellWatch r="G41183"/>
    <cellWatch r="G41184"/>
    <cellWatch r="G41185"/>
    <cellWatch r="G41186"/>
    <cellWatch r="G41187"/>
    <cellWatch r="G41188"/>
    <cellWatch r="G41189"/>
    <cellWatch r="G41190"/>
    <cellWatch r="G41191"/>
    <cellWatch r="G41192"/>
    <cellWatch r="G41193"/>
    <cellWatch r="G41194"/>
    <cellWatch r="G41195"/>
    <cellWatch r="G41196"/>
    <cellWatch r="G41197"/>
    <cellWatch r="G41198"/>
    <cellWatch r="G41199"/>
    <cellWatch r="G41200"/>
    <cellWatch r="G41201"/>
    <cellWatch r="G41202"/>
    <cellWatch r="G41203"/>
    <cellWatch r="G41204"/>
    <cellWatch r="G41205"/>
    <cellWatch r="G41206"/>
    <cellWatch r="G41207"/>
    <cellWatch r="G41208"/>
    <cellWatch r="G41209"/>
    <cellWatch r="G41210"/>
    <cellWatch r="G41211"/>
    <cellWatch r="G41212"/>
    <cellWatch r="G41213"/>
    <cellWatch r="G41214"/>
    <cellWatch r="G41215"/>
    <cellWatch r="G41216"/>
    <cellWatch r="G41217"/>
    <cellWatch r="G41218"/>
    <cellWatch r="G41219"/>
    <cellWatch r="G41220"/>
    <cellWatch r="G41221"/>
    <cellWatch r="G41222"/>
    <cellWatch r="G41223"/>
    <cellWatch r="G41224"/>
    <cellWatch r="G41225"/>
    <cellWatch r="G41226"/>
    <cellWatch r="G41227"/>
    <cellWatch r="G41228"/>
    <cellWatch r="G41229"/>
    <cellWatch r="G41230"/>
    <cellWatch r="G41231"/>
    <cellWatch r="G41232"/>
    <cellWatch r="G41233"/>
    <cellWatch r="G41234"/>
    <cellWatch r="G41235"/>
    <cellWatch r="G41236"/>
    <cellWatch r="G41237"/>
    <cellWatch r="G41238"/>
    <cellWatch r="G41239"/>
    <cellWatch r="G41240"/>
    <cellWatch r="G41241"/>
    <cellWatch r="G41242"/>
    <cellWatch r="G41243"/>
    <cellWatch r="G41244"/>
    <cellWatch r="G41245"/>
    <cellWatch r="G41246"/>
    <cellWatch r="G41247"/>
    <cellWatch r="G41248"/>
    <cellWatch r="G41249"/>
    <cellWatch r="G41250"/>
    <cellWatch r="G41251"/>
    <cellWatch r="G41252"/>
    <cellWatch r="G41253"/>
    <cellWatch r="G41254"/>
    <cellWatch r="G41255"/>
    <cellWatch r="G41256"/>
    <cellWatch r="G41257"/>
    <cellWatch r="G41258"/>
    <cellWatch r="G41259"/>
    <cellWatch r="G41260"/>
    <cellWatch r="G41261"/>
    <cellWatch r="G41262"/>
    <cellWatch r="G41263"/>
    <cellWatch r="G41264"/>
    <cellWatch r="G41265"/>
    <cellWatch r="G41266"/>
    <cellWatch r="G41267"/>
    <cellWatch r="G41268"/>
    <cellWatch r="G41269"/>
    <cellWatch r="G41270"/>
    <cellWatch r="G41271"/>
    <cellWatch r="G41272"/>
    <cellWatch r="G41273"/>
    <cellWatch r="G41274"/>
    <cellWatch r="G41275"/>
    <cellWatch r="G41276"/>
    <cellWatch r="G41277"/>
    <cellWatch r="G41278"/>
    <cellWatch r="G41279"/>
    <cellWatch r="G41280"/>
    <cellWatch r="G41281"/>
    <cellWatch r="G41282"/>
    <cellWatch r="G41283"/>
    <cellWatch r="G41284"/>
    <cellWatch r="G41285"/>
    <cellWatch r="G41286"/>
    <cellWatch r="G41287"/>
    <cellWatch r="G41288"/>
    <cellWatch r="G41289"/>
    <cellWatch r="G41290"/>
    <cellWatch r="G41291"/>
    <cellWatch r="G41292"/>
    <cellWatch r="G41293"/>
    <cellWatch r="G41294"/>
    <cellWatch r="G41295"/>
    <cellWatch r="G41296"/>
    <cellWatch r="G41297"/>
    <cellWatch r="G41298"/>
    <cellWatch r="G41299"/>
    <cellWatch r="G41300"/>
    <cellWatch r="G41301"/>
    <cellWatch r="G41302"/>
    <cellWatch r="G41303"/>
    <cellWatch r="G41304"/>
    <cellWatch r="G41305"/>
    <cellWatch r="G41306"/>
    <cellWatch r="G41307"/>
    <cellWatch r="G41308"/>
    <cellWatch r="G41309"/>
    <cellWatch r="G41310"/>
    <cellWatch r="G41311"/>
    <cellWatch r="G41312"/>
    <cellWatch r="G41313"/>
    <cellWatch r="G41314"/>
    <cellWatch r="G41315"/>
    <cellWatch r="G41316"/>
    <cellWatch r="G41317"/>
    <cellWatch r="G41318"/>
    <cellWatch r="G41319"/>
    <cellWatch r="G41320"/>
    <cellWatch r="G41321"/>
    <cellWatch r="G41322"/>
    <cellWatch r="G41323"/>
    <cellWatch r="G41324"/>
    <cellWatch r="G41325"/>
    <cellWatch r="G41326"/>
    <cellWatch r="G41327"/>
    <cellWatch r="G41328"/>
    <cellWatch r="G41329"/>
    <cellWatch r="G41330"/>
    <cellWatch r="G41331"/>
    <cellWatch r="G41332"/>
    <cellWatch r="G41333"/>
    <cellWatch r="G41334"/>
    <cellWatch r="G41335"/>
    <cellWatch r="G41336"/>
    <cellWatch r="G41337"/>
    <cellWatch r="G41338"/>
    <cellWatch r="G41339"/>
    <cellWatch r="G41340"/>
    <cellWatch r="G41341"/>
    <cellWatch r="G41342"/>
    <cellWatch r="G41343"/>
    <cellWatch r="G41344"/>
    <cellWatch r="G41345"/>
    <cellWatch r="G41346"/>
    <cellWatch r="G41347"/>
    <cellWatch r="G41348"/>
    <cellWatch r="G41349"/>
    <cellWatch r="G41350"/>
    <cellWatch r="G41351"/>
    <cellWatch r="G41352"/>
    <cellWatch r="G41353"/>
    <cellWatch r="G41354"/>
    <cellWatch r="G41355"/>
    <cellWatch r="G41356"/>
    <cellWatch r="G41357"/>
    <cellWatch r="G41358"/>
    <cellWatch r="G41359"/>
    <cellWatch r="G41360"/>
    <cellWatch r="G41361"/>
    <cellWatch r="G41362"/>
    <cellWatch r="G41363"/>
    <cellWatch r="G41364"/>
    <cellWatch r="G41365"/>
    <cellWatch r="G41366"/>
    <cellWatch r="G41367"/>
    <cellWatch r="G41368"/>
    <cellWatch r="G41369"/>
    <cellWatch r="G41370"/>
    <cellWatch r="G41371"/>
    <cellWatch r="G41372"/>
    <cellWatch r="G41373"/>
    <cellWatch r="G41374"/>
    <cellWatch r="G41375"/>
    <cellWatch r="G41376"/>
    <cellWatch r="G41377"/>
    <cellWatch r="G41378"/>
    <cellWatch r="G41379"/>
    <cellWatch r="G41380"/>
    <cellWatch r="G41381"/>
    <cellWatch r="G41382"/>
    <cellWatch r="G41383"/>
    <cellWatch r="G41384"/>
    <cellWatch r="G41385"/>
    <cellWatch r="G41386"/>
    <cellWatch r="G41387"/>
    <cellWatch r="G41388"/>
    <cellWatch r="G41389"/>
    <cellWatch r="G41390"/>
    <cellWatch r="G41391"/>
    <cellWatch r="G41392"/>
    <cellWatch r="G41393"/>
    <cellWatch r="G41394"/>
    <cellWatch r="G41395"/>
    <cellWatch r="G41396"/>
    <cellWatch r="G41397"/>
    <cellWatch r="G41398"/>
    <cellWatch r="G41399"/>
    <cellWatch r="G41400"/>
    <cellWatch r="G41401"/>
    <cellWatch r="G41402"/>
    <cellWatch r="G41403"/>
    <cellWatch r="G41404"/>
    <cellWatch r="G41405"/>
    <cellWatch r="G41406"/>
    <cellWatch r="G41407"/>
    <cellWatch r="G41408"/>
    <cellWatch r="G41409"/>
    <cellWatch r="G41410"/>
    <cellWatch r="G41411"/>
    <cellWatch r="G41412"/>
    <cellWatch r="G41413"/>
    <cellWatch r="G41414"/>
    <cellWatch r="G41415"/>
    <cellWatch r="G41416"/>
    <cellWatch r="G41417"/>
    <cellWatch r="G41418"/>
    <cellWatch r="G41419"/>
    <cellWatch r="G41420"/>
    <cellWatch r="G41421"/>
    <cellWatch r="G41422"/>
    <cellWatch r="G41423"/>
    <cellWatch r="G41424"/>
    <cellWatch r="G41425"/>
    <cellWatch r="G41426"/>
    <cellWatch r="G41427"/>
    <cellWatch r="G41428"/>
    <cellWatch r="G41429"/>
    <cellWatch r="G41430"/>
    <cellWatch r="G41431"/>
    <cellWatch r="G41432"/>
    <cellWatch r="G41433"/>
    <cellWatch r="G41434"/>
    <cellWatch r="G41435"/>
    <cellWatch r="G41436"/>
    <cellWatch r="G41437"/>
    <cellWatch r="G41438"/>
    <cellWatch r="G41439"/>
    <cellWatch r="G41440"/>
    <cellWatch r="G41441"/>
    <cellWatch r="G41442"/>
    <cellWatch r="G41443"/>
    <cellWatch r="G41444"/>
    <cellWatch r="G41445"/>
    <cellWatch r="G41446"/>
    <cellWatch r="G41447"/>
    <cellWatch r="G41448"/>
    <cellWatch r="G41449"/>
    <cellWatch r="G41450"/>
    <cellWatch r="G41451"/>
    <cellWatch r="G41452"/>
    <cellWatch r="G41453"/>
    <cellWatch r="G41454"/>
    <cellWatch r="G41455"/>
    <cellWatch r="G41456"/>
    <cellWatch r="G41457"/>
    <cellWatch r="G41458"/>
    <cellWatch r="G41459"/>
    <cellWatch r="G41460"/>
    <cellWatch r="G41461"/>
    <cellWatch r="G41462"/>
    <cellWatch r="G41463"/>
    <cellWatch r="G41464"/>
    <cellWatch r="G41465"/>
    <cellWatch r="G41466"/>
    <cellWatch r="G41467"/>
    <cellWatch r="G41468"/>
    <cellWatch r="G41469"/>
    <cellWatch r="G41470"/>
    <cellWatch r="G41471"/>
    <cellWatch r="G41472"/>
    <cellWatch r="G41473"/>
    <cellWatch r="G41474"/>
    <cellWatch r="G41475"/>
    <cellWatch r="G41476"/>
    <cellWatch r="G41477"/>
    <cellWatch r="G41478"/>
    <cellWatch r="G41479"/>
    <cellWatch r="G41480"/>
    <cellWatch r="G41481"/>
    <cellWatch r="G41482"/>
    <cellWatch r="G41483"/>
    <cellWatch r="G41484"/>
    <cellWatch r="G41485"/>
    <cellWatch r="G41486"/>
    <cellWatch r="G41487"/>
    <cellWatch r="G41488"/>
    <cellWatch r="G41489"/>
    <cellWatch r="G41490"/>
    <cellWatch r="G41491"/>
    <cellWatch r="G41492"/>
    <cellWatch r="G41493"/>
    <cellWatch r="G41494"/>
    <cellWatch r="G41495"/>
    <cellWatch r="G41496"/>
    <cellWatch r="G41497"/>
    <cellWatch r="G41498"/>
    <cellWatch r="G41499"/>
    <cellWatch r="G41500"/>
    <cellWatch r="G41501"/>
    <cellWatch r="G41502"/>
    <cellWatch r="G41503"/>
    <cellWatch r="G41504"/>
    <cellWatch r="G41505"/>
    <cellWatch r="G41506"/>
    <cellWatch r="G41507"/>
    <cellWatch r="G41508"/>
    <cellWatch r="G41509"/>
    <cellWatch r="G41510"/>
    <cellWatch r="G41511"/>
    <cellWatch r="G41512"/>
    <cellWatch r="G41513"/>
    <cellWatch r="G41514"/>
    <cellWatch r="G41515"/>
    <cellWatch r="G41516"/>
    <cellWatch r="G41517"/>
    <cellWatch r="G41518"/>
    <cellWatch r="G41519"/>
    <cellWatch r="G41520"/>
    <cellWatch r="G41521"/>
    <cellWatch r="G41522"/>
    <cellWatch r="G41523"/>
    <cellWatch r="G41524"/>
    <cellWatch r="G41525"/>
    <cellWatch r="G41526"/>
    <cellWatch r="G41527"/>
    <cellWatch r="G41528"/>
    <cellWatch r="G41529"/>
    <cellWatch r="G41530"/>
    <cellWatch r="G41531"/>
    <cellWatch r="G41532"/>
    <cellWatch r="G41533"/>
    <cellWatch r="G41534"/>
    <cellWatch r="G41535"/>
    <cellWatch r="G41536"/>
    <cellWatch r="G41537"/>
    <cellWatch r="G41538"/>
    <cellWatch r="G41539"/>
    <cellWatch r="G41540"/>
    <cellWatch r="G41541"/>
    <cellWatch r="G41542"/>
    <cellWatch r="G41543"/>
    <cellWatch r="G41544"/>
    <cellWatch r="G41545"/>
    <cellWatch r="G41546"/>
    <cellWatch r="G41547"/>
    <cellWatch r="G41548"/>
    <cellWatch r="G41549"/>
    <cellWatch r="G41550"/>
    <cellWatch r="G41551"/>
    <cellWatch r="G41552"/>
    <cellWatch r="G41553"/>
    <cellWatch r="G41554"/>
    <cellWatch r="G41555"/>
    <cellWatch r="G41556"/>
    <cellWatch r="G41557"/>
    <cellWatch r="G41558"/>
    <cellWatch r="G41559"/>
    <cellWatch r="G41560"/>
    <cellWatch r="G41561"/>
    <cellWatch r="G41562"/>
    <cellWatch r="G41563"/>
    <cellWatch r="G41564"/>
    <cellWatch r="G41565"/>
    <cellWatch r="G41566"/>
    <cellWatch r="G41567"/>
    <cellWatch r="G41568"/>
    <cellWatch r="G41569"/>
    <cellWatch r="G41570"/>
    <cellWatch r="G41571"/>
    <cellWatch r="G41572"/>
    <cellWatch r="G41573"/>
    <cellWatch r="G41574"/>
    <cellWatch r="G41575"/>
    <cellWatch r="G41576"/>
    <cellWatch r="G41577"/>
    <cellWatch r="G41578"/>
    <cellWatch r="G41579"/>
    <cellWatch r="G41580"/>
    <cellWatch r="G41581"/>
    <cellWatch r="G41582"/>
    <cellWatch r="G41583"/>
    <cellWatch r="G41584"/>
    <cellWatch r="G41585"/>
    <cellWatch r="G41586"/>
    <cellWatch r="G41587"/>
    <cellWatch r="G41588"/>
    <cellWatch r="G41589"/>
    <cellWatch r="G41590"/>
    <cellWatch r="G41591"/>
    <cellWatch r="G41592"/>
    <cellWatch r="G41593"/>
    <cellWatch r="G41594"/>
    <cellWatch r="G41595"/>
    <cellWatch r="G41596"/>
    <cellWatch r="G41597"/>
    <cellWatch r="G41598"/>
    <cellWatch r="G41599"/>
    <cellWatch r="G41600"/>
    <cellWatch r="G41601"/>
    <cellWatch r="G41602"/>
    <cellWatch r="G41603"/>
    <cellWatch r="G41604"/>
    <cellWatch r="G41605"/>
    <cellWatch r="G41606"/>
    <cellWatch r="G41607"/>
    <cellWatch r="G41608"/>
    <cellWatch r="G41609"/>
    <cellWatch r="G41610"/>
    <cellWatch r="G41611"/>
    <cellWatch r="G41612"/>
    <cellWatch r="G41613"/>
    <cellWatch r="G41614"/>
    <cellWatch r="G41615"/>
    <cellWatch r="G41616"/>
    <cellWatch r="G41617"/>
    <cellWatch r="G41618"/>
    <cellWatch r="G41619"/>
    <cellWatch r="G41620"/>
    <cellWatch r="G41621"/>
    <cellWatch r="G41622"/>
    <cellWatch r="G41623"/>
    <cellWatch r="G41624"/>
    <cellWatch r="G41625"/>
    <cellWatch r="G41626"/>
    <cellWatch r="G41627"/>
    <cellWatch r="G41628"/>
    <cellWatch r="G41629"/>
    <cellWatch r="G41630"/>
    <cellWatch r="G41631"/>
    <cellWatch r="G41632"/>
    <cellWatch r="G41633"/>
    <cellWatch r="G41634"/>
    <cellWatch r="G41635"/>
    <cellWatch r="G41636"/>
    <cellWatch r="G41637"/>
    <cellWatch r="G41638"/>
    <cellWatch r="G41639"/>
    <cellWatch r="G41640"/>
    <cellWatch r="G41641"/>
    <cellWatch r="G41642"/>
    <cellWatch r="G41643"/>
    <cellWatch r="G41644"/>
    <cellWatch r="G41645"/>
    <cellWatch r="G41646"/>
    <cellWatch r="G41647"/>
    <cellWatch r="G41648"/>
    <cellWatch r="G41649"/>
    <cellWatch r="G41650"/>
    <cellWatch r="G41651"/>
    <cellWatch r="G41652"/>
    <cellWatch r="G41653"/>
    <cellWatch r="G41654"/>
    <cellWatch r="G41655"/>
    <cellWatch r="G41656"/>
    <cellWatch r="G41657"/>
    <cellWatch r="G41658"/>
    <cellWatch r="G41659"/>
    <cellWatch r="G41660"/>
    <cellWatch r="G41661"/>
    <cellWatch r="G41662"/>
    <cellWatch r="G41663"/>
    <cellWatch r="G41664"/>
    <cellWatch r="G41665"/>
    <cellWatch r="G41666"/>
    <cellWatch r="G41667"/>
    <cellWatch r="G41668"/>
    <cellWatch r="G41669"/>
    <cellWatch r="G41670"/>
    <cellWatch r="G41671"/>
    <cellWatch r="G41672"/>
    <cellWatch r="G41673"/>
    <cellWatch r="G41674"/>
    <cellWatch r="G41675"/>
    <cellWatch r="G41676"/>
    <cellWatch r="G41677"/>
    <cellWatch r="G41678"/>
    <cellWatch r="G41679"/>
    <cellWatch r="G41680"/>
    <cellWatch r="G41681"/>
    <cellWatch r="G41682"/>
    <cellWatch r="G41683"/>
    <cellWatch r="G41684"/>
    <cellWatch r="G41685"/>
    <cellWatch r="G41686"/>
    <cellWatch r="G41687"/>
    <cellWatch r="G41688"/>
    <cellWatch r="G41689"/>
    <cellWatch r="G41690"/>
    <cellWatch r="G41691"/>
    <cellWatch r="G41692"/>
    <cellWatch r="G41693"/>
    <cellWatch r="G41694"/>
    <cellWatch r="G41695"/>
    <cellWatch r="G41696"/>
    <cellWatch r="G41697"/>
    <cellWatch r="G41698"/>
    <cellWatch r="G41699"/>
    <cellWatch r="G41700"/>
    <cellWatch r="G41701"/>
    <cellWatch r="G41702"/>
    <cellWatch r="G41703"/>
    <cellWatch r="G41704"/>
    <cellWatch r="G41705"/>
    <cellWatch r="G41706"/>
    <cellWatch r="G41707"/>
    <cellWatch r="G41708"/>
    <cellWatch r="G41709"/>
    <cellWatch r="G41710"/>
    <cellWatch r="G41711"/>
    <cellWatch r="G41712"/>
    <cellWatch r="G41713"/>
    <cellWatch r="G41714"/>
    <cellWatch r="G41715"/>
    <cellWatch r="G41716"/>
    <cellWatch r="G41717"/>
    <cellWatch r="G41718"/>
    <cellWatch r="G41719"/>
    <cellWatch r="G41720"/>
    <cellWatch r="G41721"/>
    <cellWatch r="G41722"/>
    <cellWatch r="G41723"/>
    <cellWatch r="G41724"/>
    <cellWatch r="G41725"/>
    <cellWatch r="G41726"/>
    <cellWatch r="G41727"/>
    <cellWatch r="G41728"/>
    <cellWatch r="G41729"/>
    <cellWatch r="G41730"/>
    <cellWatch r="G41731"/>
    <cellWatch r="G41732"/>
    <cellWatch r="G41733"/>
    <cellWatch r="G41734"/>
    <cellWatch r="G41735"/>
    <cellWatch r="G41736"/>
    <cellWatch r="G41737"/>
    <cellWatch r="G41738"/>
    <cellWatch r="G41739"/>
    <cellWatch r="G41740"/>
    <cellWatch r="G41741"/>
    <cellWatch r="G41742"/>
    <cellWatch r="G41743"/>
    <cellWatch r="G41744"/>
    <cellWatch r="G41745"/>
    <cellWatch r="G41746"/>
    <cellWatch r="G41747"/>
    <cellWatch r="G41748"/>
    <cellWatch r="G41749"/>
    <cellWatch r="G41750"/>
    <cellWatch r="G41751"/>
    <cellWatch r="G41752"/>
    <cellWatch r="G41753"/>
    <cellWatch r="G41754"/>
    <cellWatch r="G41755"/>
    <cellWatch r="G41756"/>
    <cellWatch r="G41757"/>
    <cellWatch r="G41758"/>
    <cellWatch r="G41759"/>
    <cellWatch r="G41760"/>
    <cellWatch r="G41761"/>
    <cellWatch r="G41762"/>
    <cellWatch r="G41763"/>
    <cellWatch r="G41764"/>
    <cellWatch r="G41765"/>
    <cellWatch r="G41766"/>
    <cellWatch r="G41767"/>
    <cellWatch r="G41768"/>
    <cellWatch r="G41769"/>
    <cellWatch r="G41770"/>
    <cellWatch r="G41771"/>
    <cellWatch r="G41772"/>
    <cellWatch r="G41773"/>
    <cellWatch r="G41774"/>
    <cellWatch r="G41775"/>
    <cellWatch r="G41776"/>
    <cellWatch r="G41777"/>
    <cellWatch r="G41778"/>
    <cellWatch r="G41779"/>
    <cellWatch r="G41780"/>
    <cellWatch r="G41781"/>
    <cellWatch r="G41782"/>
    <cellWatch r="G41783"/>
    <cellWatch r="G41784"/>
    <cellWatch r="G41785"/>
    <cellWatch r="G41786"/>
    <cellWatch r="G41787"/>
    <cellWatch r="G41788"/>
    <cellWatch r="G41789"/>
    <cellWatch r="G41790"/>
    <cellWatch r="G41791"/>
    <cellWatch r="G41792"/>
    <cellWatch r="G41793"/>
    <cellWatch r="G41794"/>
    <cellWatch r="G41795"/>
    <cellWatch r="G41796"/>
    <cellWatch r="G41797"/>
    <cellWatch r="G41798"/>
    <cellWatch r="G41799"/>
    <cellWatch r="G41800"/>
    <cellWatch r="G41801"/>
    <cellWatch r="G41802"/>
    <cellWatch r="G41803"/>
    <cellWatch r="G41804"/>
    <cellWatch r="G41805"/>
    <cellWatch r="G41806"/>
    <cellWatch r="G41807"/>
    <cellWatch r="G41808"/>
    <cellWatch r="G41809"/>
    <cellWatch r="G41810"/>
    <cellWatch r="G41811"/>
    <cellWatch r="G41812"/>
    <cellWatch r="G41813"/>
    <cellWatch r="G41814"/>
    <cellWatch r="G41815"/>
    <cellWatch r="G41816"/>
    <cellWatch r="G41817"/>
    <cellWatch r="G41818"/>
    <cellWatch r="G41819"/>
    <cellWatch r="G41820"/>
    <cellWatch r="G41821"/>
    <cellWatch r="G41822"/>
    <cellWatch r="G41823"/>
    <cellWatch r="G41824"/>
    <cellWatch r="G41825"/>
    <cellWatch r="G41826"/>
    <cellWatch r="G41827"/>
    <cellWatch r="G41828"/>
    <cellWatch r="G41829"/>
    <cellWatch r="G41830"/>
    <cellWatch r="G41831"/>
    <cellWatch r="G41832"/>
    <cellWatch r="G41833"/>
    <cellWatch r="G41834"/>
    <cellWatch r="G41835"/>
    <cellWatch r="G41836"/>
    <cellWatch r="G41837"/>
    <cellWatch r="G41838"/>
    <cellWatch r="G41839"/>
    <cellWatch r="G41840"/>
    <cellWatch r="G41841"/>
    <cellWatch r="G41842"/>
    <cellWatch r="G41843"/>
    <cellWatch r="G41844"/>
    <cellWatch r="G41845"/>
    <cellWatch r="G41846"/>
    <cellWatch r="G41847"/>
    <cellWatch r="G41848"/>
    <cellWatch r="G41849"/>
    <cellWatch r="G41850"/>
    <cellWatch r="G41851"/>
    <cellWatch r="G41852"/>
    <cellWatch r="G41853"/>
    <cellWatch r="G41854"/>
    <cellWatch r="G41855"/>
    <cellWatch r="G41856"/>
    <cellWatch r="G41857"/>
    <cellWatch r="G41858"/>
    <cellWatch r="G41859"/>
    <cellWatch r="G41860"/>
    <cellWatch r="G41861"/>
    <cellWatch r="G41862"/>
    <cellWatch r="G41863"/>
    <cellWatch r="G41864"/>
    <cellWatch r="G41865"/>
    <cellWatch r="G41866"/>
    <cellWatch r="G41867"/>
    <cellWatch r="G41868"/>
    <cellWatch r="G41869"/>
    <cellWatch r="G41870"/>
    <cellWatch r="G41871"/>
    <cellWatch r="G41872"/>
    <cellWatch r="G41873"/>
    <cellWatch r="G41874"/>
    <cellWatch r="G41875"/>
    <cellWatch r="G41876"/>
    <cellWatch r="G41877"/>
    <cellWatch r="G41878"/>
    <cellWatch r="G41879"/>
    <cellWatch r="G41880"/>
    <cellWatch r="G41881"/>
    <cellWatch r="G41882"/>
    <cellWatch r="G41883"/>
    <cellWatch r="G41884"/>
    <cellWatch r="G41885"/>
    <cellWatch r="G41886"/>
    <cellWatch r="G41887"/>
    <cellWatch r="G41888"/>
    <cellWatch r="G41889"/>
    <cellWatch r="G41890"/>
    <cellWatch r="G41891"/>
    <cellWatch r="G41892"/>
    <cellWatch r="G41893"/>
    <cellWatch r="G41894"/>
    <cellWatch r="G41895"/>
    <cellWatch r="G41896"/>
    <cellWatch r="G41897"/>
    <cellWatch r="G41898"/>
    <cellWatch r="G41899"/>
    <cellWatch r="G41900"/>
    <cellWatch r="G41901"/>
    <cellWatch r="G41902"/>
    <cellWatch r="G41903"/>
    <cellWatch r="G41904"/>
    <cellWatch r="G41905"/>
    <cellWatch r="G41906"/>
    <cellWatch r="G41907"/>
    <cellWatch r="G41908"/>
    <cellWatch r="G41909"/>
    <cellWatch r="G41910"/>
    <cellWatch r="G41911"/>
    <cellWatch r="G41912"/>
    <cellWatch r="G41913"/>
    <cellWatch r="G41914"/>
    <cellWatch r="G41915"/>
    <cellWatch r="G41916"/>
    <cellWatch r="G41917"/>
    <cellWatch r="G41918"/>
    <cellWatch r="G41919"/>
    <cellWatch r="G41920"/>
    <cellWatch r="G41921"/>
    <cellWatch r="G41922"/>
    <cellWatch r="G41923"/>
    <cellWatch r="G41924"/>
    <cellWatch r="G41925"/>
    <cellWatch r="G41926"/>
    <cellWatch r="G41927"/>
    <cellWatch r="G41928"/>
    <cellWatch r="G41929"/>
    <cellWatch r="G41930"/>
    <cellWatch r="G41931"/>
    <cellWatch r="G41932"/>
    <cellWatch r="G41933"/>
    <cellWatch r="G41934"/>
    <cellWatch r="G41935"/>
    <cellWatch r="G41936"/>
    <cellWatch r="G41937"/>
    <cellWatch r="G41938"/>
    <cellWatch r="G41939"/>
    <cellWatch r="G41940"/>
    <cellWatch r="G41941"/>
    <cellWatch r="G41942"/>
    <cellWatch r="G41943"/>
    <cellWatch r="G41944"/>
    <cellWatch r="G41945"/>
    <cellWatch r="G41946"/>
    <cellWatch r="G41947"/>
    <cellWatch r="G41948"/>
    <cellWatch r="G41949"/>
    <cellWatch r="G41950"/>
    <cellWatch r="G41951"/>
    <cellWatch r="G41952"/>
    <cellWatch r="G41953"/>
    <cellWatch r="G41954"/>
    <cellWatch r="G41955"/>
    <cellWatch r="G41956"/>
    <cellWatch r="G41957"/>
    <cellWatch r="G41958"/>
    <cellWatch r="G41959"/>
    <cellWatch r="G41960"/>
    <cellWatch r="G41961"/>
    <cellWatch r="G41962"/>
    <cellWatch r="G41963"/>
    <cellWatch r="G41964"/>
    <cellWatch r="G41965"/>
    <cellWatch r="G41966"/>
    <cellWatch r="G41967"/>
    <cellWatch r="G41968"/>
    <cellWatch r="G41969"/>
    <cellWatch r="G41970"/>
    <cellWatch r="G41971"/>
    <cellWatch r="G41972"/>
    <cellWatch r="G41973"/>
    <cellWatch r="G41974"/>
    <cellWatch r="G41975"/>
    <cellWatch r="G41976"/>
    <cellWatch r="G41977"/>
    <cellWatch r="G41978"/>
    <cellWatch r="G41979"/>
    <cellWatch r="G41980"/>
    <cellWatch r="G41981"/>
    <cellWatch r="G41982"/>
    <cellWatch r="G41983"/>
    <cellWatch r="G41984"/>
    <cellWatch r="G41985"/>
    <cellWatch r="G41986"/>
    <cellWatch r="G41987"/>
    <cellWatch r="G41988"/>
    <cellWatch r="G41989"/>
    <cellWatch r="G41990"/>
    <cellWatch r="G41991"/>
    <cellWatch r="G41992"/>
    <cellWatch r="G41993"/>
    <cellWatch r="G41994"/>
    <cellWatch r="G41995"/>
    <cellWatch r="G41996"/>
    <cellWatch r="G41997"/>
    <cellWatch r="G41998"/>
    <cellWatch r="G41999"/>
    <cellWatch r="G42000"/>
    <cellWatch r="G42001"/>
    <cellWatch r="G42002"/>
    <cellWatch r="G42003"/>
    <cellWatch r="G42004"/>
    <cellWatch r="G42005"/>
    <cellWatch r="G42006"/>
    <cellWatch r="G42007"/>
    <cellWatch r="G42008"/>
    <cellWatch r="G42009"/>
    <cellWatch r="G42010"/>
    <cellWatch r="G42011"/>
    <cellWatch r="G42012"/>
    <cellWatch r="G42013"/>
    <cellWatch r="G42014"/>
    <cellWatch r="G42015"/>
    <cellWatch r="G42016"/>
    <cellWatch r="G42017"/>
    <cellWatch r="G42018"/>
    <cellWatch r="G42019"/>
    <cellWatch r="G42020"/>
    <cellWatch r="G42021"/>
    <cellWatch r="G42022"/>
    <cellWatch r="G42023"/>
    <cellWatch r="G42024"/>
    <cellWatch r="G42025"/>
    <cellWatch r="G42026"/>
    <cellWatch r="G42027"/>
    <cellWatch r="G42028"/>
    <cellWatch r="G42029"/>
    <cellWatch r="G42030"/>
    <cellWatch r="G42031"/>
    <cellWatch r="G42032"/>
    <cellWatch r="G42033"/>
    <cellWatch r="G42034"/>
    <cellWatch r="G42035"/>
    <cellWatch r="G42036"/>
    <cellWatch r="G42037"/>
    <cellWatch r="G42038"/>
    <cellWatch r="G42039"/>
    <cellWatch r="G42040"/>
    <cellWatch r="G42041"/>
    <cellWatch r="G42042"/>
    <cellWatch r="G42043"/>
    <cellWatch r="G42044"/>
    <cellWatch r="G42045"/>
    <cellWatch r="G42046"/>
    <cellWatch r="G42047"/>
    <cellWatch r="G42048"/>
    <cellWatch r="G42049"/>
    <cellWatch r="G42050"/>
    <cellWatch r="G42051"/>
    <cellWatch r="G42052"/>
    <cellWatch r="G42053"/>
    <cellWatch r="G42054"/>
    <cellWatch r="G42055"/>
    <cellWatch r="G42056"/>
    <cellWatch r="G42057"/>
    <cellWatch r="G42058"/>
    <cellWatch r="G42059"/>
    <cellWatch r="G42060"/>
    <cellWatch r="G42061"/>
    <cellWatch r="G42062"/>
    <cellWatch r="G42063"/>
    <cellWatch r="G42064"/>
    <cellWatch r="G42065"/>
    <cellWatch r="G42066"/>
    <cellWatch r="G42067"/>
    <cellWatch r="G42068"/>
    <cellWatch r="G42069"/>
    <cellWatch r="G42070"/>
    <cellWatch r="G42071"/>
    <cellWatch r="G42072"/>
    <cellWatch r="G42073"/>
    <cellWatch r="G42074"/>
    <cellWatch r="G42075"/>
    <cellWatch r="G42076"/>
    <cellWatch r="G42077"/>
    <cellWatch r="G42078"/>
    <cellWatch r="G42079"/>
    <cellWatch r="G42080"/>
    <cellWatch r="G42081"/>
    <cellWatch r="G42082"/>
    <cellWatch r="G42083"/>
    <cellWatch r="G42084"/>
    <cellWatch r="G42085"/>
    <cellWatch r="G42086"/>
    <cellWatch r="G42087"/>
    <cellWatch r="G42088"/>
    <cellWatch r="G42089"/>
    <cellWatch r="G42090"/>
    <cellWatch r="G42091"/>
    <cellWatch r="G42092"/>
    <cellWatch r="G42093"/>
    <cellWatch r="G42094"/>
    <cellWatch r="G42095"/>
    <cellWatch r="G42096"/>
    <cellWatch r="G42097"/>
    <cellWatch r="G42098"/>
    <cellWatch r="G42099"/>
    <cellWatch r="G42100"/>
    <cellWatch r="G42101"/>
    <cellWatch r="G42102"/>
    <cellWatch r="G42103"/>
    <cellWatch r="G42104"/>
    <cellWatch r="G42105"/>
    <cellWatch r="G42106"/>
    <cellWatch r="G42107"/>
    <cellWatch r="G42108"/>
    <cellWatch r="G42109"/>
    <cellWatch r="G42110"/>
    <cellWatch r="G42111"/>
    <cellWatch r="G42112"/>
    <cellWatch r="G42113"/>
    <cellWatch r="G42114"/>
    <cellWatch r="G42115"/>
    <cellWatch r="G42116"/>
    <cellWatch r="G42117"/>
    <cellWatch r="G42118"/>
    <cellWatch r="G42119"/>
    <cellWatch r="G42120"/>
    <cellWatch r="G42121"/>
    <cellWatch r="G42122"/>
    <cellWatch r="G42123"/>
    <cellWatch r="G42124"/>
    <cellWatch r="G42125"/>
    <cellWatch r="G42126"/>
    <cellWatch r="G42127"/>
    <cellWatch r="G42128"/>
    <cellWatch r="G42129"/>
    <cellWatch r="G42130"/>
    <cellWatch r="G42131"/>
    <cellWatch r="G42132"/>
    <cellWatch r="G42133"/>
    <cellWatch r="G42134"/>
    <cellWatch r="G42135"/>
    <cellWatch r="G42136"/>
    <cellWatch r="G42137"/>
    <cellWatch r="G42138"/>
    <cellWatch r="G42139"/>
    <cellWatch r="G42140"/>
    <cellWatch r="G42141"/>
    <cellWatch r="G42142"/>
    <cellWatch r="G42143"/>
    <cellWatch r="G42144"/>
    <cellWatch r="G42145"/>
    <cellWatch r="G42146"/>
    <cellWatch r="G42147"/>
    <cellWatch r="G42148"/>
    <cellWatch r="G42149"/>
    <cellWatch r="G42150"/>
    <cellWatch r="G42151"/>
    <cellWatch r="G42152"/>
    <cellWatch r="G42153"/>
    <cellWatch r="G42154"/>
    <cellWatch r="G42155"/>
    <cellWatch r="G42156"/>
    <cellWatch r="G42157"/>
    <cellWatch r="G42158"/>
    <cellWatch r="G42159"/>
    <cellWatch r="G42160"/>
    <cellWatch r="G42161"/>
    <cellWatch r="G42162"/>
    <cellWatch r="G42163"/>
    <cellWatch r="G42164"/>
    <cellWatch r="G42165"/>
    <cellWatch r="G42166"/>
    <cellWatch r="G42167"/>
    <cellWatch r="G42168"/>
    <cellWatch r="G42169"/>
    <cellWatch r="G42170"/>
    <cellWatch r="G42171"/>
    <cellWatch r="G42172"/>
    <cellWatch r="G42173"/>
    <cellWatch r="G42174"/>
    <cellWatch r="G42175"/>
    <cellWatch r="G42176"/>
    <cellWatch r="G42177"/>
    <cellWatch r="G42178"/>
    <cellWatch r="G42179"/>
    <cellWatch r="G42180"/>
    <cellWatch r="G42181"/>
    <cellWatch r="G42182"/>
    <cellWatch r="G42183"/>
    <cellWatch r="G42184"/>
    <cellWatch r="G42185"/>
    <cellWatch r="G42186"/>
    <cellWatch r="G42187"/>
    <cellWatch r="G42188"/>
    <cellWatch r="G42189"/>
    <cellWatch r="G42190"/>
    <cellWatch r="G42191"/>
    <cellWatch r="G42192"/>
    <cellWatch r="G42193"/>
    <cellWatch r="G42194"/>
    <cellWatch r="G42195"/>
    <cellWatch r="G42196"/>
    <cellWatch r="G42197"/>
    <cellWatch r="G42198"/>
    <cellWatch r="G42199"/>
    <cellWatch r="G42200"/>
    <cellWatch r="G42201"/>
    <cellWatch r="G42202"/>
    <cellWatch r="G42203"/>
    <cellWatch r="G42204"/>
    <cellWatch r="G42205"/>
    <cellWatch r="G42206"/>
    <cellWatch r="G42207"/>
    <cellWatch r="G42208"/>
    <cellWatch r="G42209"/>
    <cellWatch r="G42210"/>
    <cellWatch r="G42211"/>
    <cellWatch r="G42212"/>
    <cellWatch r="G42213"/>
    <cellWatch r="G42214"/>
    <cellWatch r="G42215"/>
    <cellWatch r="G42216"/>
    <cellWatch r="G42217"/>
    <cellWatch r="G42218"/>
    <cellWatch r="G42219"/>
    <cellWatch r="G42220"/>
    <cellWatch r="G42221"/>
    <cellWatch r="G42222"/>
    <cellWatch r="G42223"/>
    <cellWatch r="G42224"/>
    <cellWatch r="G42225"/>
    <cellWatch r="G42226"/>
    <cellWatch r="G42227"/>
    <cellWatch r="G42228"/>
    <cellWatch r="G42229"/>
    <cellWatch r="G42230"/>
    <cellWatch r="G42231"/>
    <cellWatch r="G42232"/>
    <cellWatch r="G42233"/>
    <cellWatch r="G42234"/>
    <cellWatch r="G42235"/>
    <cellWatch r="G42236"/>
    <cellWatch r="G42237"/>
    <cellWatch r="G42238"/>
    <cellWatch r="G42239"/>
    <cellWatch r="G42240"/>
    <cellWatch r="G42241"/>
    <cellWatch r="G42242"/>
    <cellWatch r="G42243"/>
    <cellWatch r="G42244"/>
    <cellWatch r="G42245"/>
    <cellWatch r="G42246"/>
    <cellWatch r="G42247"/>
    <cellWatch r="G42248"/>
    <cellWatch r="G42249"/>
    <cellWatch r="G42250"/>
    <cellWatch r="G42251"/>
    <cellWatch r="G42252"/>
    <cellWatch r="G42253"/>
    <cellWatch r="G42254"/>
    <cellWatch r="G42255"/>
    <cellWatch r="G42256"/>
    <cellWatch r="G42257"/>
    <cellWatch r="G42258"/>
    <cellWatch r="G42259"/>
    <cellWatch r="G42260"/>
    <cellWatch r="G42261"/>
    <cellWatch r="G42262"/>
    <cellWatch r="G42263"/>
    <cellWatch r="G42264"/>
    <cellWatch r="G42265"/>
    <cellWatch r="G42266"/>
    <cellWatch r="G42267"/>
    <cellWatch r="G42268"/>
    <cellWatch r="G42269"/>
    <cellWatch r="G42270"/>
    <cellWatch r="G42271"/>
    <cellWatch r="G42272"/>
    <cellWatch r="G42273"/>
    <cellWatch r="G42274"/>
    <cellWatch r="G42275"/>
    <cellWatch r="G42276"/>
    <cellWatch r="G42277"/>
    <cellWatch r="G42278"/>
    <cellWatch r="G42279"/>
    <cellWatch r="G42280"/>
    <cellWatch r="G42281"/>
    <cellWatch r="G42282"/>
    <cellWatch r="G42283"/>
    <cellWatch r="G42284"/>
    <cellWatch r="G42285"/>
    <cellWatch r="G42286"/>
    <cellWatch r="G42287"/>
    <cellWatch r="G42288"/>
    <cellWatch r="G42289"/>
    <cellWatch r="G42290"/>
    <cellWatch r="G42291"/>
    <cellWatch r="G42292"/>
    <cellWatch r="G42293"/>
    <cellWatch r="G42294"/>
    <cellWatch r="G42295"/>
    <cellWatch r="G42296"/>
    <cellWatch r="G42297"/>
    <cellWatch r="G42298"/>
    <cellWatch r="G42299"/>
    <cellWatch r="G42300"/>
    <cellWatch r="G42301"/>
    <cellWatch r="G42302"/>
    <cellWatch r="G42303"/>
    <cellWatch r="G42304"/>
    <cellWatch r="G42305"/>
    <cellWatch r="G42306"/>
    <cellWatch r="G42307"/>
    <cellWatch r="G42308"/>
    <cellWatch r="G42309"/>
    <cellWatch r="G42310"/>
    <cellWatch r="G42311"/>
    <cellWatch r="G42312"/>
    <cellWatch r="G42313"/>
    <cellWatch r="G42314"/>
    <cellWatch r="G42315"/>
    <cellWatch r="G42316"/>
    <cellWatch r="G42317"/>
    <cellWatch r="G42318"/>
    <cellWatch r="G42319"/>
    <cellWatch r="G42320"/>
    <cellWatch r="G42321"/>
    <cellWatch r="G42322"/>
    <cellWatch r="G42323"/>
    <cellWatch r="G42324"/>
    <cellWatch r="G42325"/>
    <cellWatch r="G42326"/>
    <cellWatch r="G42327"/>
    <cellWatch r="G42328"/>
    <cellWatch r="G42329"/>
    <cellWatch r="G42330"/>
    <cellWatch r="G42331"/>
    <cellWatch r="G42332"/>
    <cellWatch r="G42333"/>
    <cellWatch r="G42334"/>
    <cellWatch r="G42335"/>
    <cellWatch r="G42336"/>
    <cellWatch r="G42337"/>
    <cellWatch r="G42338"/>
    <cellWatch r="G42339"/>
    <cellWatch r="G42340"/>
    <cellWatch r="G42341"/>
    <cellWatch r="G42342"/>
    <cellWatch r="G42343"/>
    <cellWatch r="G42344"/>
    <cellWatch r="G42345"/>
    <cellWatch r="G42346"/>
    <cellWatch r="G42347"/>
    <cellWatch r="G42348"/>
    <cellWatch r="G42349"/>
    <cellWatch r="G42350"/>
    <cellWatch r="G42351"/>
    <cellWatch r="G42352"/>
    <cellWatch r="G42353"/>
    <cellWatch r="G42354"/>
    <cellWatch r="G42355"/>
    <cellWatch r="G42356"/>
    <cellWatch r="G42357"/>
    <cellWatch r="G42358"/>
    <cellWatch r="G42359"/>
    <cellWatch r="G42360"/>
    <cellWatch r="G42361"/>
    <cellWatch r="G42362"/>
    <cellWatch r="G42363"/>
    <cellWatch r="G42364"/>
    <cellWatch r="G42365"/>
    <cellWatch r="G42366"/>
    <cellWatch r="G42367"/>
    <cellWatch r="G42368"/>
    <cellWatch r="G42369"/>
    <cellWatch r="G42370"/>
    <cellWatch r="G42371"/>
    <cellWatch r="G42372"/>
    <cellWatch r="G42373"/>
    <cellWatch r="G42374"/>
    <cellWatch r="G42375"/>
    <cellWatch r="G42376"/>
    <cellWatch r="G42377"/>
    <cellWatch r="G42378"/>
    <cellWatch r="G42379"/>
    <cellWatch r="G42380"/>
    <cellWatch r="G42381"/>
    <cellWatch r="G42382"/>
    <cellWatch r="G42383"/>
    <cellWatch r="G42384"/>
    <cellWatch r="G42385"/>
    <cellWatch r="G42386"/>
    <cellWatch r="G42387"/>
    <cellWatch r="G42388"/>
    <cellWatch r="G42389"/>
    <cellWatch r="G42390"/>
    <cellWatch r="G42391"/>
    <cellWatch r="G42392"/>
    <cellWatch r="G42393"/>
    <cellWatch r="G42394"/>
    <cellWatch r="G42395"/>
    <cellWatch r="G42396"/>
    <cellWatch r="G42397"/>
    <cellWatch r="G42398"/>
    <cellWatch r="G42399"/>
    <cellWatch r="G42400"/>
    <cellWatch r="G42401"/>
    <cellWatch r="G42402"/>
    <cellWatch r="G42403"/>
    <cellWatch r="G42404"/>
    <cellWatch r="G42405"/>
    <cellWatch r="G42406"/>
    <cellWatch r="G42407"/>
    <cellWatch r="G42408"/>
    <cellWatch r="G42409"/>
    <cellWatch r="G42410"/>
    <cellWatch r="G42411"/>
    <cellWatch r="G42412"/>
    <cellWatch r="G42413"/>
    <cellWatch r="G42414"/>
    <cellWatch r="G42415"/>
    <cellWatch r="G42416"/>
    <cellWatch r="G42417"/>
    <cellWatch r="G42418"/>
    <cellWatch r="G42419"/>
    <cellWatch r="G42420"/>
    <cellWatch r="G42421"/>
    <cellWatch r="G42422"/>
    <cellWatch r="G42423"/>
    <cellWatch r="G42424"/>
    <cellWatch r="G42425"/>
    <cellWatch r="G42426"/>
    <cellWatch r="G42427"/>
    <cellWatch r="G42428"/>
    <cellWatch r="G42429"/>
    <cellWatch r="G42430"/>
    <cellWatch r="G42431"/>
    <cellWatch r="G42432"/>
    <cellWatch r="G42433"/>
    <cellWatch r="G42434"/>
    <cellWatch r="G42435"/>
    <cellWatch r="G42436"/>
    <cellWatch r="G42437"/>
    <cellWatch r="G42438"/>
    <cellWatch r="G42439"/>
    <cellWatch r="G42440"/>
    <cellWatch r="G42441"/>
    <cellWatch r="G42442"/>
    <cellWatch r="G42443"/>
    <cellWatch r="G42444"/>
    <cellWatch r="G42445"/>
    <cellWatch r="G42446"/>
    <cellWatch r="G42447"/>
    <cellWatch r="G42448"/>
    <cellWatch r="G42449"/>
    <cellWatch r="G42450"/>
    <cellWatch r="G42451"/>
    <cellWatch r="G42452"/>
    <cellWatch r="G42453"/>
    <cellWatch r="G42454"/>
    <cellWatch r="G42455"/>
    <cellWatch r="G42456"/>
    <cellWatch r="G42457"/>
    <cellWatch r="G42458"/>
    <cellWatch r="G42459"/>
    <cellWatch r="G42460"/>
    <cellWatch r="G42461"/>
    <cellWatch r="G42462"/>
    <cellWatch r="G42463"/>
    <cellWatch r="G42464"/>
    <cellWatch r="G42465"/>
    <cellWatch r="G42466"/>
    <cellWatch r="G42467"/>
    <cellWatch r="G42468"/>
    <cellWatch r="G42469"/>
    <cellWatch r="G42470"/>
    <cellWatch r="G42471"/>
    <cellWatch r="G42472"/>
    <cellWatch r="G42473"/>
    <cellWatch r="G42474"/>
    <cellWatch r="G42475"/>
    <cellWatch r="G42476"/>
    <cellWatch r="G42477"/>
    <cellWatch r="G42478"/>
    <cellWatch r="G42479"/>
    <cellWatch r="G42480"/>
    <cellWatch r="G42481"/>
    <cellWatch r="G42482"/>
    <cellWatch r="G42483"/>
    <cellWatch r="G42484"/>
    <cellWatch r="G42485"/>
    <cellWatch r="G42486"/>
    <cellWatch r="G42487"/>
    <cellWatch r="G42488"/>
    <cellWatch r="G42489"/>
    <cellWatch r="G42490"/>
    <cellWatch r="G42491"/>
    <cellWatch r="G42492"/>
    <cellWatch r="G42493"/>
    <cellWatch r="G42494"/>
    <cellWatch r="G42495"/>
    <cellWatch r="G42496"/>
    <cellWatch r="G42497"/>
    <cellWatch r="G42498"/>
    <cellWatch r="G42499"/>
    <cellWatch r="G42500"/>
    <cellWatch r="G42501"/>
    <cellWatch r="G42502"/>
    <cellWatch r="G42503"/>
    <cellWatch r="G42504"/>
    <cellWatch r="G42505"/>
    <cellWatch r="G42506"/>
    <cellWatch r="G42507"/>
    <cellWatch r="G42508"/>
    <cellWatch r="G42509"/>
    <cellWatch r="G42510"/>
    <cellWatch r="G42511"/>
    <cellWatch r="G42512"/>
    <cellWatch r="G42513"/>
    <cellWatch r="G42514"/>
    <cellWatch r="G42515"/>
    <cellWatch r="G42516"/>
    <cellWatch r="G42517"/>
    <cellWatch r="G42518"/>
    <cellWatch r="G42519"/>
    <cellWatch r="G42520"/>
    <cellWatch r="G42521"/>
    <cellWatch r="G42522"/>
    <cellWatch r="G42523"/>
    <cellWatch r="G42524"/>
    <cellWatch r="G42525"/>
    <cellWatch r="G42526"/>
    <cellWatch r="G42527"/>
    <cellWatch r="G42528"/>
    <cellWatch r="G42529"/>
    <cellWatch r="G42530"/>
    <cellWatch r="G42531"/>
    <cellWatch r="G42532"/>
    <cellWatch r="G42533"/>
    <cellWatch r="G42534"/>
    <cellWatch r="G42535"/>
    <cellWatch r="G42536"/>
    <cellWatch r="G42537"/>
    <cellWatch r="G42538"/>
    <cellWatch r="G42539"/>
    <cellWatch r="G42540"/>
    <cellWatch r="G42541"/>
    <cellWatch r="G42542"/>
    <cellWatch r="G42543"/>
    <cellWatch r="G42544"/>
    <cellWatch r="G42545"/>
    <cellWatch r="G42546"/>
    <cellWatch r="G42547"/>
    <cellWatch r="G42548"/>
    <cellWatch r="G42549"/>
    <cellWatch r="G42550"/>
    <cellWatch r="G42551"/>
    <cellWatch r="G42552"/>
    <cellWatch r="G42553"/>
    <cellWatch r="G42554"/>
    <cellWatch r="G42555"/>
    <cellWatch r="G42556"/>
    <cellWatch r="G42557"/>
    <cellWatch r="G42558"/>
    <cellWatch r="G42559"/>
    <cellWatch r="G42560"/>
    <cellWatch r="G42561"/>
    <cellWatch r="G42562"/>
    <cellWatch r="G42563"/>
    <cellWatch r="G42564"/>
    <cellWatch r="G42565"/>
    <cellWatch r="G42566"/>
    <cellWatch r="G42567"/>
    <cellWatch r="G42568"/>
    <cellWatch r="G42569"/>
    <cellWatch r="G42570"/>
    <cellWatch r="G42571"/>
    <cellWatch r="G42572"/>
    <cellWatch r="G42573"/>
    <cellWatch r="G42574"/>
    <cellWatch r="G42575"/>
    <cellWatch r="G42576"/>
    <cellWatch r="G42577"/>
    <cellWatch r="G42578"/>
    <cellWatch r="G42579"/>
    <cellWatch r="G42580"/>
    <cellWatch r="G42581"/>
    <cellWatch r="G42582"/>
    <cellWatch r="G42583"/>
    <cellWatch r="G42584"/>
    <cellWatch r="G42585"/>
    <cellWatch r="G42586"/>
    <cellWatch r="G42587"/>
    <cellWatch r="G42588"/>
    <cellWatch r="G42589"/>
    <cellWatch r="G42590"/>
    <cellWatch r="G42591"/>
    <cellWatch r="G42592"/>
    <cellWatch r="G42593"/>
    <cellWatch r="G42594"/>
    <cellWatch r="G42595"/>
    <cellWatch r="G42596"/>
    <cellWatch r="G42597"/>
    <cellWatch r="G42598"/>
    <cellWatch r="G42599"/>
    <cellWatch r="G42600"/>
    <cellWatch r="G42601"/>
    <cellWatch r="G42602"/>
    <cellWatch r="G42603"/>
    <cellWatch r="G42604"/>
    <cellWatch r="G42605"/>
    <cellWatch r="G42606"/>
    <cellWatch r="G42607"/>
    <cellWatch r="G42608"/>
    <cellWatch r="G42609"/>
    <cellWatch r="G42610"/>
    <cellWatch r="G42611"/>
    <cellWatch r="G42612"/>
    <cellWatch r="G42613"/>
    <cellWatch r="G42614"/>
    <cellWatch r="G42615"/>
    <cellWatch r="G42616"/>
    <cellWatch r="G42617"/>
    <cellWatch r="G42618"/>
    <cellWatch r="G42619"/>
    <cellWatch r="G42620"/>
    <cellWatch r="G42621"/>
    <cellWatch r="G42622"/>
    <cellWatch r="G42623"/>
    <cellWatch r="G42624"/>
    <cellWatch r="G42625"/>
    <cellWatch r="G42626"/>
    <cellWatch r="G42627"/>
    <cellWatch r="G42628"/>
    <cellWatch r="G42629"/>
    <cellWatch r="G42630"/>
    <cellWatch r="G42631"/>
    <cellWatch r="G42632"/>
    <cellWatch r="G42633"/>
    <cellWatch r="G42634"/>
    <cellWatch r="G42635"/>
    <cellWatch r="G42636"/>
    <cellWatch r="G42637"/>
    <cellWatch r="G42638"/>
    <cellWatch r="G42639"/>
    <cellWatch r="G42640"/>
    <cellWatch r="G42641"/>
    <cellWatch r="G42642"/>
    <cellWatch r="G42643"/>
    <cellWatch r="G42644"/>
    <cellWatch r="G42645"/>
    <cellWatch r="G42646"/>
    <cellWatch r="G42647"/>
    <cellWatch r="G42648"/>
    <cellWatch r="G42649"/>
    <cellWatch r="G42650"/>
    <cellWatch r="G42651"/>
    <cellWatch r="G42652"/>
    <cellWatch r="G42653"/>
    <cellWatch r="G42654"/>
    <cellWatch r="G42655"/>
    <cellWatch r="G42656"/>
    <cellWatch r="G42657"/>
    <cellWatch r="G42658"/>
    <cellWatch r="G42659"/>
    <cellWatch r="G42660"/>
    <cellWatch r="G42661"/>
    <cellWatch r="G42662"/>
    <cellWatch r="G42663"/>
    <cellWatch r="G42664"/>
    <cellWatch r="G42665"/>
    <cellWatch r="G42666"/>
    <cellWatch r="G42667"/>
    <cellWatch r="G42668"/>
    <cellWatch r="G42669"/>
    <cellWatch r="G42670"/>
    <cellWatch r="G42671"/>
    <cellWatch r="G42672"/>
    <cellWatch r="G42673"/>
    <cellWatch r="G42674"/>
    <cellWatch r="G42675"/>
    <cellWatch r="G42676"/>
    <cellWatch r="G42677"/>
    <cellWatch r="G42678"/>
    <cellWatch r="G42679"/>
    <cellWatch r="G42680"/>
    <cellWatch r="G42681"/>
    <cellWatch r="G42682"/>
    <cellWatch r="G42683"/>
    <cellWatch r="G42684"/>
    <cellWatch r="G42685"/>
    <cellWatch r="G42686"/>
    <cellWatch r="G42687"/>
    <cellWatch r="G42688"/>
    <cellWatch r="G42689"/>
    <cellWatch r="G42690"/>
    <cellWatch r="G42691"/>
    <cellWatch r="G42692"/>
    <cellWatch r="G42693"/>
    <cellWatch r="G42694"/>
    <cellWatch r="G42695"/>
    <cellWatch r="G42696"/>
    <cellWatch r="G42697"/>
    <cellWatch r="G42698"/>
    <cellWatch r="G42699"/>
    <cellWatch r="G42700"/>
    <cellWatch r="G42701"/>
    <cellWatch r="G42702"/>
    <cellWatch r="G42703"/>
    <cellWatch r="G42704"/>
    <cellWatch r="G42705"/>
    <cellWatch r="G42706"/>
    <cellWatch r="G42707"/>
    <cellWatch r="G42708"/>
    <cellWatch r="G42709"/>
    <cellWatch r="G42710"/>
    <cellWatch r="G42711"/>
    <cellWatch r="G42712"/>
    <cellWatch r="G42713"/>
    <cellWatch r="G42714"/>
    <cellWatch r="G42715"/>
    <cellWatch r="G42716"/>
    <cellWatch r="G42717"/>
    <cellWatch r="G42718"/>
    <cellWatch r="G42719"/>
    <cellWatch r="G42720"/>
    <cellWatch r="G42721"/>
    <cellWatch r="G42722"/>
    <cellWatch r="G42723"/>
    <cellWatch r="G42724"/>
    <cellWatch r="G42725"/>
    <cellWatch r="G42726"/>
    <cellWatch r="G42727"/>
    <cellWatch r="G42728"/>
    <cellWatch r="G42729"/>
    <cellWatch r="G42730"/>
    <cellWatch r="G42731"/>
    <cellWatch r="G42732"/>
    <cellWatch r="G42733"/>
    <cellWatch r="G42734"/>
    <cellWatch r="G42735"/>
    <cellWatch r="G42736"/>
    <cellWatch r="G42737"/>
    <cellWatch r="G42738"/>
    <cellWatch r="G42739"/>
    <cellWatch r="G42740"/>
    <cellWatch r="G42741"/>
    <cellWatch r="G42742"/>
    <cellWatch r="G42743"/>
    <cellWatch r="G42744"/>
    <cellWatch r="G42745"/>
    <cellWatch r="G42746"/>
    <cellWatch r="G42747"/>
    <cellWatch r="G42748"/>
    <cellWatch r="G42749"/>
    <cellWatch r="G42750"/>
    <cellWatch r="G42751"/>
    <cellWatch r="G42752"/>
    <cellWatch r="G42753"/>
    <cellWatch r="G42754"/>
    <cellWatch r="G42755"/>
    <cellWatch r="G42756"/>
    <cellWatch r="G42757"/>
    <cellWatch r="G42758"/>
    <cellWatch r="G42759"/>
    <cellWatch r="G42760"/>
    <cellWatch r="G42761"/>
    <cellWatch r="G42762"/>
    <cellWatch r="G42763"/>
    <cellWatch r="G42764"/>
    <cellWatch r="G42765"/>
    <cellWatch r="G42766"/>
    <cellWatch r="G42767"/>
    <cellWatch r="G42768"/>
    <cellWatch r="G42769"/>
    <cellWatch r="G42770"/>
    <cellWatch r="G42771"/>
    <cellWatch r="G42772"/>
    <cellWatch r="G42773"/>
    <cellWatch r="G42774"/>
    <cellWatch r="G42775"/>
    <cellWatch r="G42776"/>
    <cellWatch r="G42777"/>
    <cellWatch r="G42778"/>
    <cellWatch r="G42779"/>
    <cellWatch r="G42780"/>
    <cellWatch r="G42781"/>
    <cellWatch r="G42782"/>
    <cellWatch r="G42783"/>
    <cellWatch r="G42784"/>
    <cellWatch r="G42785"/>
    <cellWatch r="G42786"/>
    <cellWatch r="G42787"/>
    <cellWatch r="G42788"/>
    <cellWatch r="G42789"/>
    <cellWatch r="G42790"/>
    <cellWatch r="G42791"/>
    <cellWatch r="G42792"/>
    <cellWatch r="G42793"/>
    <cellWatch r="G42794"/>
    <cellWatch r="G42795"/>
    <cellWatch r="G42796"/>
    <cellWatch r="G42797"/>
    <cellWatch r="G42798"/>
    <cellWatch r="G42799"/>
    <cellWatch r="G42800"/>
    <cellWatch r="G42801"/>
    <cellWatch r="G42802"/>
    <cellWatch r="G42803"/>
    <cellWatch r="G42804"/>
    <cellWatch r="G42805"/>
    <cellWatch r="G42806"/>
    <cellWatch r="G42807"/>
    <cellWatch r="G42808"/>
    <cellWatch r="G42809"/>
    <cellWatch r="G42810"/>
    <cellWatch r="G42811"/>
    <cellWatch r="G42812"/>
    <cellWatch r="G42813"/>
    <cellWatch r="G42814"/>
    <cellWatch r="G42815"/>
    <cellWatch r="G42816"/>
    <cellWatch r="G42817"/>
    <cellWatch r="G42818"/>
    <cellWatch r="G42819"/>
    <cellWatch r="G42820"/>
    <cellWatch r="G42821"/>
    <cellWatch r="G42822"/>
    <cellWatch r="G42823"/>
    <cellWatch r="G42824"/>
    <cellWatch r="G42825"/>
    <cellWatch r="G42826"/>
    <cellWatch r="G42827"/>
    <cellWatch r="G42828"/>
    <cellWatch r="G42829"/>
    <cellWatch r="G42830"/>
    <cellWatch r="G42831"/>
    <cellWatch r="G42832"/>
    <cellWatch r="G42833"/>
    <cellWatch r="G42834"/>
    <cellWatch r="G42835"/>
    <cellWatch r="G42836"/>
    <cellWatch r="G42837"/>
    <cellWatch r="G42838"/>
    <cellWatch r="G42839"/>
    <cellWatch r="G42840"/>
    <cellWatch r="G42841"/>
    <cellWatch r="G42842"/>
    <cellWatch r="G42843"/>
    <cellWatch r="G42844"/>
    <cellWatch r="G42845"/>
    <cellWatch r="G42846"/>
    <cellWatch r="G42847"/>
    <cellWatch r="G42848"/>
    <cellWatch r="G42849"/>
    <cellWatch r="G42850"/>
    <cellWatch r="G42851"/>
    <cellWatch r="G42852"/>
    <cellWatch r="G42853"/>
    <cellWatch r="G42854"/>
    <cellWatch r="G42855"/>
    <cellWatch r="G42856"/>
    <cellWatch r="G42857"/>
    <cellWatch r="G42858"/>
    <cellWatch r="G42859"/>
    <cellWatch r="G42860"/>
    <cellWatch r="G42861"/>
    <cellWatch r="G42862"/>
    <cellWatch r="G42863"/>
    <cellWatch r="G42864"/>
    <cellWatch r="G42865"/>
    <cellWatch r="G42866"/>
    <cellWatch r="G42867"/>
    <cellWatch r="G42868"/>
    <cellWatch r="G42869"/>
    <cellWatch r="G42870"/>
    <cellWatch r="G42871"/>
    <cellWatch r="G42872"/>
    <cellWatch r="G42873"/>
    <cellWatch r="G42874"/>
    <cellWatch r="G42875"/>
    <cellWatch r="G42876"/>
    <cellWatch r="G42877"/>
    <cellWatch r="G42878"/>
    <cellWatch r="G42879"/>
    <cellWatch r="G42880"/>
    <cellWatch r="G42881"/>
    <cellWatch r="G42882"/>
    <cellWatch r="G42883"/>
    <cellWatch r="G42884"/>
    <cellWatch r="G42885"/>
    <cellWatch r="G42886"/>
    <cellWatch r="G42887"/>
    <cellWatch r="G42888"/>
    <cellWatch r="G42889"/>
    <cellWatch r="G42890"/>
    <cellWatch r="G42891"/>
    <cellWatch r="G42892"/>
    <cellWatch r="G42893"/>
    <cellWatch r="G42894"/>
    <cellWatch r="G42895"/>
    <cellWatch r="G42896"/>
    <cellWatch r="G42897"/>
    <cellWatch r="G42898"/>
    <cellWatch r="G42899"/>
    <cellWatch r="G42900"/>
    <cellWatch r="G42901"/>
    <cellWatch r="G42902"/>
    <cellWatch r="G42903"/>
    <cellWatch r="G42904"/>
    <cellWatch r="G42905"/>
    <cellWatch r="G42906"/>
    <cellWatch r="G42907"/>
    <cellWatch r="G42908"/>
    <cellWatch r="G42909"/>
    <cellWatch r="G42910"/>
    <cellWatch r="G42911"/>
    <cellWatch r="G42912"/>
    <cellWatch r="G42913"/>
    <cellWatch r="G42914"/>
    <cellWatch r="G42915"/>
    <cellWatch r="G42916"/>
    <cellWatch r="G42917"/>
    <cellWatch r="G42918"/>
    <cellWatch r="G42919"/>
    <cellWatch r="G42920"/>
    <cellWatch r="G42921"/>
    <cellWatch r="G42922"/>
    <cellWatch r="G42923"/>
    <cellWatch r="G42924"/>
    <cellWatch r="G42925"/>
    <cellWatch r="G42926"/>
    <cellWatch r="G42927"/>
    <cellWatch r="G42928"/>
    <cellWatch r="G42929"/>
    <cellWatch r="G42930"/>
    <cellWatch r="G42931"/>
    <cellWatch r="G42932"/>
    <cellWatch r="G42933"/>
    <cellWatch r="G42934"/>
    <cellWatch r="G42935"/>
    <cellWatch r="G42936"/>
    <cellWatch r="G42937"/>
    <cellWatch r="G42938"/>
    <cellWatch r="G42939"/>
    <cellWatch r="G42940"/>
    <cellWatch r="G42941"/>
    <cellWatch r="G42942"/>
    <cellWatch r="G42943"/>
    <cellWatch r="G42944"/>
    <cellWatch r="G42945"/>
    <cellWatch r="G42946"/>
    <cellWatch r="G42947"/>
    <cellWatch r="G42948"/>
    <cellWatch r="G42949"/>
    <cellWatch r="G42950"/>
    <cellWatch r="G42951"/>
    <cellWatch r="G42952"/>
    <cellWatch r="G42953"/>
    <cellWatch r="G42954"/>
    <cellWatch r="G42955"/>
    <cellWatch r="G42956"/>
    <cellWatch r="G42957"/>
    <cellWatch r="G42958"/>
    <cellWatch r="G42959"/>
    <cellWatch r="G42960"/>
    <cellWatch r="G42961"/>
    <cellWatch r="G42962"/>
    <cellWatch r="G42963"/>
    <cellWatch r="G42964"/>
    <cellWatch r="G42965"/>
    <cellWatch r="G42966"/>
    <cellWatch r="G42967"/>
    <cellWatch r="G42968"/>
    <cellWatch r="G42969"/>
    <cellWatch r="G42970"/>
    <cellWatch r="G42971"/>
    <cellWatch r="G42972"/>
    <cellWatch r="G42973"/>
    <cellWatch r="G42974"/>
    <cellWatch r="G42975"/>
    <cellWatch r="G42976"/>
    <cellWatch r="G42977"/>
    <cellWatch r="G42978"/>
    <cellWatch r="G42979"/>
    <cellWatch r="G42980"/>
    <cellWatch r="G42981"/>
    <cellWatch r="G42982"/>
    <cellWatch r="G42983"/>
    <cellWatch r="G42984"/>
    <cellWatch r="G42985"/>
    <cellWatch r="G42986"/>
    <cellWatch r="G42987"/>
    <cellWatch r="G42988"/>
    <cellWatch r="G42989"/>
    <cellWatch r="G42990"/>
    <cellWatch r="G42991"/>
    <cellWatch r="G42992"/>
    <cellWatch r="G42993"/>
    <cellWatch r="G42994"/>
    <cellWatch r="G42995"/>
    <cellWatch r="G42996"/>
    <cellWatch r="G42997"/>
    <cellWatch r="G42998"/>
    <cellWatch r="G42999"/>
    <cellWatch r="G43000"/>
    <cellWatch r="G43001"/>
    <cellWatch r="G43002"/>
    <cellWatch r="G43003"/>
    <cellWatch r="G43004"/>
    <cellWatch r="G43005"/>
    <cellWatch r="G43006"/>
    <cellWatch r="G43007"/>
    <cellWatch r="G43008"/>
    <cellWatch r="G43009"/>
    <cellWatch r="G43010"/>
    <cellWatch r="G43011"/>
    <cellWatch r="G43012"/>
    <cellWatch r="G43013"/>
    <cellWatch r="G43014"/>
    <cellWatch r="G43015"/>
    <cellWatch r="G43016"/>
    <cellWatch r="G43017"/>
    <cellWatch r="G43018"/>
    <cellWatch r="G43019"/>
    <cellWatch r="G43020"/>
    <cellWatch r="G43021"/>
    <cellWatch r="G43022"/>
    <cellWatch r="G43023"/>
    <cellWatch r="G43024"/>
    <cellWatch r="G43025"/>
    <cellWatch r="G43026"/>
    <cellWatch r="G43027"/>
    <cellWatch r="G43028"/>
    <cellWatch r="G43029"/>
    <cellWatch r="G43030"/>
    <cellWatch r="G43031"/>
    <cellWatch r="G43032"/>
    <cellWatch r="G43033"/>
    <cellWatch r="G43034"/>
    <cellWatch r="G43035"/>
    <cellWatch r="G43036"/>
    <cellWatch r="G43037"/>
    <cellWatch r="G43038"/>
    <cellWatch r="G43039"/>
    <cellWatch r="G43040"/>
    <cellWatch r="G43041"/>
    <cellWatch r="G43042"/>
    <cellWatch r="G43043"/>
    <cellWatch r="G43044"/>
    <cellWatch r="G43045"/>
    <cellWatch r="G43046"/>
    <cellWatch r="G43047"/>
    <cellWatch r="G43048"/>
    <cellWatch r="G43049"/>
    <cellWatch r="G43050"/>
    <cellWatch r="G43051"/>
    <cellWatch r="G43052"/>
    <cellWatch r="G43053"/>
    <cellWatch r="G43054"/>
    <cellWatch r="G43055"/>
    <cellWatch r="G43056"/>
    <cellWatch r="G43057"/>
    <cellWatch r="G43058"/>
    <cellWatch r="G43059"/>
    <cellWatch r="G43060"/>
    <cellWatch r="G43061"/>
    <cellWatch r="G43062"/>
    <cellWatch r="G43063"/>
    <cellWatch r="G43064"/>
    <cellWatch r="G43065"/>
    <cellWatch r="G43066"/>
    <cellWatch r="G43067"/>
    <cellWatch r="G43068"/>
    <cellWatch r="G43069"/>
    <cellWatch r="G43070"/>
    <cellWatch r="G43071"/>
    <cellWatch r="G43072"/>
    <cellWatch r="G43073"/>
    <cellWatch r="G43074"/>
    <cellWatch r="G43075"/>
    <cellWatch r="G43076"/>
    <cellWatch r="G43077"/>
    <cellWatch r="G43078"/>
    <cellWatch r="G43079"/>
    <cellWatch r="G43080"/>
    <cellWatch r="G43081"/>
    <cellWatch r="G43082"/>
    <cellWatch r="G43083"/>
    <cellWatch r="G43084"/>
    <cellWatch r="G43085"/>
    <cellWatch r="G43086"/>
    <cellWatch r="G43087"/>
    <cellWatch r="G43088"/>
    <cellWatch r="G43089"/>
    <cellWatch r="G43090"/>
    <cellWatch r="G43091"/>
    <cellWatch r="G43092"/>
    <cellWatch r="G43093"/>
    <cellWatch r="G43094"/>
    <cellWatch r="G43095"/>
    <cellWatch r="G43096"/>
    <cellWatch r="G43097"/>
    <cellWatch r="G43098"/>
    <cellWatch r="G43099"/>
    <cellWatch r="G43100"/>
    <cellWatch r="G43101"/>
    <cellWatch r="G43102"/>
    <cellWatch r="G43103"/>
    <cellWatch r="G43104"/>
    <cellWatch r="G43105"/>
    <cellWatch r="G43106"/>
    <cellWatch r="G43107"/>
    <cellWatch r="G43108"/>
    <cellWatch r="G43109"/>
    <cellWatch r="G43110"/>
    <cellWatch r="G43111"/>
    <cellWatch r="G43112"/>
    <cellWatch r="G43113"/>
    <cellWatch r="G43114"/>
    <cellWatch r="G43115"/>
    <cellWatch r="G43116"/>
    <cellWatch r="G43117"/>
    <cellWatch r="G43118"/>
    <cellWatch r="G43119"/>
    <cellWatch r="G43120"/>
    <cellWatch r="G43121"/>
    <cellWatch r="G43122"/>
    <cellWatch r="G43123"/>
    <cellWatch r="G43124"/>
    <cellWatch r="G43125"/>
    <cellWatch r="G43126"/>
    <cellWatch r="G43127"/>
    <cellWatch r="G43128"/>
    <cellWatch r="G43129"/>
    <cellWatch r="G43130"/>
    <cellWatch r="G43131"/>
    <cellWatch r="G43132"/>
    <cellWatch r="G43133"/>
    <cellWatch r="G43134"/>
    <cellWatch r="G43135"/>
    <cellWatch r="G43136"/>
    <cellWatch r="G43137"/>
    <cellWatch r="G43138"/>
    <cellWatch r="G43139"/>
    <cellWatch r="G43140"/>
    <cellWatch r="G43141"/>
    <cellWatch r="G43142"/>
    <cellWatch r="G43143"/>
    <cellWatch r="G43144"/>
    <cellWatch r="G43145"/>
    <cellWatch r="G43146"/>
    <cellWatch r="G43147"/>
    <cellWatch r="G43148"/>
    <cellWatch r="G43149"/>
    <cellWatch r="G43150"/>
    <cellWatch r="G43151"/>
    <cellWatch r="G43152"/>
    <cellWatch r="G43153"/>
    <cellWatch r="G43154"/>
    <cellWatch r="G43155"/>
    <cellWatch r="G43156"/>
    <cellWatch r="G43157"/>
    <cellWatch r="G43158"/>
    <cellWatch r="G43159"/>
    <cellWatch r="G43160"/>
    <cellWatch r="G43161"/>
    <cellWatch r="G43162"/>
    <cellWatch r="G43163"/>
    <cellWatch r="G43164"/>
    <cellWatch r="G43165"/>
    <cellWatch r="G43166"/>
    <cellWatch r="G43167"/>
    <cellWatch r="G43168"/>
    <cellWatch r="G43169"/>
    <cellWatch r="G43170"/>
    <cellWatch r="G43171"/>
    <cellWatch r="G43172"/>
    <cellWatch r="G43173"/>
    <cellWatch r="G43174"/>
    <cellWatch r="G43175"/>
    <cellWatch r="G43176"/>
    <cellWatch r="G43177"/>
    <cellWatch r="G43178"/>
    <cellWatch r="G43179"/>
    <cellWatch r="G43180"/>
    <cellWatch r="G43181"/>
    <cellWatch r="G43182"/>
    <cellWatch r="G43183"/>
    <cellWatch r="G43184"/>
    <cellWatch r="G43185"/>
    <cellWatch r="G43186"/>
    <cellWatch r="G43187"/>
    <cellWatch r="G43188"/>
    <cellWatch r="G43189"/>
    <cellWatch r="G43190"/>
    <cellWatch r="G43191"/>
    <cellWatch r="G43192"/>
    <cellWatch r="G43193"/>
    <cellWatch r="G43194"/>
    <cellWatch r="G43195"/>
    <cellWatch r="G43196"/>
    <cellWatch r="G43197"/>
    <cellWatch r="G43198"/>
    <cellWatch r="G43199"/>
    <cellWatch r="G43200"/>
    <cellWatch r="G43201"/>
    <cellWatch r="G43202"/>
    <cellWatch r="G43203"/>
    <cellWatch r="G43204"/>
    <cellWatch r="G43205"/>
    <cellWatch r="G43206"/>
    <cellWatch r="G43207"/>
    <cellWatch r="G43208"/>
    <cellWatch r="G43209"/>
    <cellWatch r="G43210"/>
    <cellWatch r="G43211"/>
    <cellWatch r="G43212"/>
    <cellWatch r="G43213"/>
    <cellWatch r="G43214"/>
    <cellWatch r="G43215"/>
    <cellWatch r="G43216"/>
    <cellWatch r="G43217"/>
    <cellWatch r="G43218"/>
    <cellWatch r="G43219"/>
    <cellWatch r="G43220"/>
    <cellWatch r="G43221"/>
    <cellWatch r="G43222"/>
    <cellWatch r="G43223"/>
    <cellWatch r="G43224"/>
    <cellWatch r="G43225"/>
    <cellWatch r="G43226"/>
    <cellWatch r="G43227"/>
    <cellWatch r="G43228"/>
    <cellWatch r="G43229"/>
    <cellWatch r="G43230"/>
    <cellWatch r="G43231"/>
    <cellWatch r="G43232"/>
    <cellWatch r="G43233"/>
    <cellWatch r="G43234"/>
    <cellWatch r="G43235"/>
    <cellWatch r="G43236"/>
    <cellWatch r="G43237"/>
    <cellWatch r="G43238"/>
    <cellWatch r="G43239"/>
    <cellWatch r="G43240"/>
    <cellWatch r="G43241"/>
    <cellWatch r="G43242"/>
    <cellWatch r="G43243"/>
    <cellWatch r="G43244"/>
    <cellWatch r="G43245"/>
    <cellWatch r="G43246"/>
    <cellWatch r="G43247"/>
    <cellWatch r="G43248"/>
    <cellWatch r="G43249"/>
    <cellWatch r="G43250"/>
    <cellWatch r="G43251"/>
    <cellWatch r="G43252"/>
    <cellWatch r="G43253"/>
    <cellWatch r="G43254"/>
    <cellWatch r="G43255"/>
    <cellWatch r="G43256"/>
    <cellWatch r="G43257"/>
    <cellWatch r="G43258"/>
    <cellWatch r="G43259"/>
    <cellWatch r="G43260"/>
    <cellWatch r="G43261"/>
    <cellWatch r="G43262"/>
    <cellWatch r="G43263"/>
    <cellWatch r="G43264"/>
    <cellWatch r="G43265"/>
    <cellWatch r="G43266"/>
    <cellWatch r="G43267"/>
    <cellWatch r="G43268"/>
    <cellWatch r="G43269"/>
    <cellWatch r="G43270"/>
    <cellWatch r="G43271"/>
    <cellWatch r="G43272"/>
    <cellWatch r="G43273"/>
    <cellWatch r="G43274"/>
    <cellWatch r="G43275"/>
    <cellWatch r="G43276"/>
    <cellWatch r="G43277"/>
    <cellWatch r="G43278"/>
    <cellWatch r="G43279"/>
    <cellWatch r="G43280"/>
    <cellWatch r="G43281"/>
    <cellWatch r="G43282"/>
    <cellWatch r="G43283"/>
    <cellWatch r="G43284"/>
    <cellWatch r="G43285"/>
    <cellWatch r="G43286"/>
    <cellWatch r="G43287"/>
    <cellWatch r="G43288"/>
    <cellWatch r="G43289"/>
    <cellWatch r="G43290"/>
    <cellWatch r="G43291"/>
    <cellWatch r="G43292"/>
    <cellWatch r="G43293"/>
    <cellWatch r="G43294"/>
    <cellWatch r="G43295"/>
    <cellWatch r="G43296"/>
    <cellWatch r="G43297"/>
    <cellWatch r="G43298"/>
    <cellWatch r="G43299"/>
    <cellWatch r="G43300"/>
    <cellWatch r="G43301"/>
    <cellWatch r="G43302"/>
    <cellWatch r="G43303"/>
    <cellWatch r="G43304"/>
    <cellWatch r="G43305"/>
    <cellWatch r="G43306"/>
    <cellWatch r="G43307"/>
    <cellWatch r="G43308"/>
    <cellWatch r="G43309"/>
    <cellWatch r="G43310"/>
    <cellWatch r="G43311"/>
    <cellWatch r="G43312"/>
    <cellWatch r="G43313"/>
    <cellWatch r="G43314"/>
    <cellWatch r="G43315"/>
    <cellWatch r="G43316"/>
    <cellWatch r="G43317"/>
    <cellWatch r="G43318"/>
    <cellWatch r="G43319"/>
    <cellWatch r="G43320"/>
    <cellWatch r="G43321"/>
    <cellWatch r="G43322"/>
    <cellWatch r="G43323"/>
    <cellWatch r="G43324"/>
    <cellWatch r="G43325"/>
    <cellWatch r="G43326"/>
    <cellWatch r="G43327"/>
    <cellWatch r="G43328"/>
    <cellWatch r="G43329"/>
    <cellWatch r="G43330"/>
    <cellWatch r="G43331"/>
    <cellWatch r="G43332"/>
    <cellWatch r="G43333"/>
    <cellWatch r="G43334"/>
    <cellWatch r="G43335"/>
    <cellWatch r="G43336"/>
    <cellWatch r="G43337"/>
    <cellWatch r="G43338"/>
    <cellWatch r="G43339"/>
    <cellWatch r="G43340"/>
    <cellWatch r="G43341"/>
    <cellWatch r="G43342"/>
    <cellWatch r="G43343"/>
    <cellWatch r="G43344"/>
    <cellWatch r="G43345"/>
    <cellWatch r="G43346"/>
    <cellWatch r="G43347"/>
    <cellWatch r="G43348"/>
    <cellWatch r="G43349"/>
    <cellWatch r="G43350"/>
    <cellWatch r="G43351"/>
    <cellWatch r="G43352"/>
    <cellWatch r="G43353"/>
    <cellWatch r="G43354"/>
    <cellWatch r="G43355"/>
    <cellWatch r="G43356"/>
    <cellWatch r="G43357"/>
    <cellWatch r="G43358"/>
    <cellWatch r="G43359"/>
    <cellWatch r="G43360"/>
    <cellWatch r="G43361"/>
    <cellWatch r="G43362"/>
    <cellWatch r="G43363"/>
    <cellWatch r="G43364"/>
    <cellWatch r="G43365"/>
    <cellWatch r="G43366"/>
    <cellWatch r="G43367"/>
    <cellWatch r="G43368"/>
    <cellWatch r="G43369"/>
    <cellWatch r="G43370"/>
    <cellWatch r="G43371"/>
    <cellWatch r="G43372"/>
    <cellWatch r="G43373"/>
    <cellWatch r="G43374"/>
    <cellWatch r="G43375"/>
    <cellWatch r="G43376"/>
    <cellWatch r="G43377"/>
    <cellWatch r="G43378"/>
    <cellWatch r="G43379"/>
    <cellWatch r="G43380"/>
    <cellWatch r="G43381"/>
    <cellWatch r="G43382"/>
    <cellWatch r="G43383"/>
    <cellWatch r="G43384"/>
    <cellWatch r="G43385"/>
    <cellWatch r="G43386"/>
    <cellWatch r="G43387"/>
    <cellWatch r="G43388"/>
    <cellWatch r="G43389"/>
    <cellWatch r="G43390"/>
    <cellWatch r="G43391"/>
    <cellWatch r="G43392"/>
    <cellWatch r="G43393"/>
    <cellWatch r="G43394"/>
    <cellWatch r="G43395"/>
    <cellWatch r="G43396"/>
    <cellWatch r="G43397"/>
    <cellWatch r="G43398"/>
    <cellWatch r="G43399"/>
    <cellWatch r="G43400"/>
    <cellWatch r="G43401"/>
    <cellWatch r="G43402"/>
    <cellWatch r="G43403"/>
    <cellWatch r="G43404"/>
    <cellWatch r="G43405"/>
    <cellWatch r="G43406"/>
    <cellWatch r="G43407"/>
    <cellWatch r="G43408"/>
    <cellWatch r="G43409"/>
    <cellWatch r="G43410"/>
    <cellWatch r="G43411"/>
    <cellWatch r="G43412"/>
    <cellWatch r="G43413"/>
    <cellWatch r="G43414"/>
    <cellWatch r="G43415"/>
    <cellWatch r="G43416"/>
    <cellWatch r="G43417"/>
    <cellWatch r="G43418"/>
    <cellWatch r="G43419"/>
    <cellWatch r="G43420"/>
    <cellWatch r="G43421"/>
    <cellWatch r="G43422"/>
    <cellWatch r="G43423"/>
    <cellWatch r="G43424"/>
    <cellWatch r="G43425"/>
    <cellWatch r="G43426"/>
    <cellWatch r="G43427"/>
    <cellWatch r="G43428"/>
    <cellWatch r="G43429"/>
    <cellWatch r="G43430"/>
    <cellWatch r="G43431"/>
    <cellWatch r="G43432"/>
    <cellWatch r="G43433"/>
    <cellWatch r="G43434"/>
    <cellWatch r="G43435"/>
    <cellWatch r="G43436"/>
    <cellWatch r="G43437"/>
    <cellWatch r="G43438"/>
    <cellWatch r="G43439"/>
    <cellWatch r="G43440"/>
    <cellWatch r="G43441"/>
    <cellWatch r="G43442"/>
    <cellWatch r="G43443"/>
    <cellWatch r="G43444"/>
    <cellWatch r="G43445"/>
    <cellWatch r="G43446"/>
    <cellWatch r="G43447"/>
    <cellWatch r="G43448"/>
    <cellWatch r="G43449"/>
    <cellWatch r="G43450"/>
    <cellWatch r="G43451"/>
    <cellWatch r="G43452"/>
    <cellWatch r="G43453"/>
    <cellWatch r="G43454"/>
    <cellWatch r="G43455"/>
    <cellWatch r="G43456"/>
    <cellWatch r="G43457"/>
    <cellWatch r="G43458"/>
    <cellWatch r="G43459"/>
    <cellWatch r="G43460"/>
    <cellWatch r="G43461"/>
    <cellWatch r="G43462"/>
    <cellWatch r="G43463"/>
    <cellWatch r="G43464"/>
    <cellWatch r="G43465"/>
    <cellWatch r="G43466"/>
    <cellWatch r="G43467"/>
    <cellWatch r="G43468"/>
    <cellWatch r="G43469"/>
    <cellWatch r="G43470"/>
    <cellWatch r="G43471"/>
    <cellWatch r="G43472"/>
    <cellWatch r="G43473"/>
    <cellWatch r="G43474"/>
    <cellWatch r="G43475"/>
    <cellWatch r="G43476"/>
    <cellWatch r="G43477"/>
    <cellWatch r="G43478"/>
    <cellWatch r="G43479"/>
    <cellWatch r="G43480"/>
    <cellWatch r="G43481"/>
    <cellWatch r="G43482"/>
    <cellWatch r="G43483"/>
    <cellWatch r="G43484"/>
    <cellWatch r="G43485"/>
    <cellWatch r="G43486"/>
    <cellWatch r="G43487"/>
    <cellWatch r="G43488"/>
    <cellWatch r="G43489"/>
    <cellWatch r="G43490"/>
    <cellWatch r="G43491"/>
    <cellWatch r="G43492"/>
    <cellWatch r="G43493"/>
    <cellWatch r="G43494"/>
    <cellWatch r="G43495"/>
    <cellWatch r="G43496"/>
    <cellWatch r="G43497"/>
    <cellWatch r="G43498"/>
    <cellWatch r="G43499"/>
    <cellWatch r="G43500"/>
    <cellWatch r="G43501"/>
    <cellWatch r="G43502"/>
    <cellWatch r="G43503"/>
    <cellWatch r="G43504"/>
    <cellWatch r="G43505"/>
    <cellWatch r="G43506"/>
    <cellWatch r="G43507"/>
    <cellWatch r="G43508"/>
    <cellWatch r="G43509"/>
    <cellWatch r="G43510"/>
    <cellWatch r="G43511"/>
    <cellWatch r="G43512"/>
    <cellWatch r="G43513"/>
    <cellWatch r="G43514"/>
    <cellWatch r="G43515"/>
    <cellWatch r="G43516"/>
    <cellWatch r="G43517"/>
    <cellWatch r="G43518"/>
    <cellWatch r="G43519"/>
    <cellWatch r="G43520"/>
    <cellWatch r="G43521"/>
    <cellWatch r="G43522"/>
    <cellWatch r="G43523"/>
    <cellWatch r="G43524"/>
    <cellWatch r="G43525"/>
    <cellWatch r="G43526"/>
    <cellWatch r="G43527"/>
    <cellWatch r="G43528"/>
    <cellWatch r="G43529"/>
    <cellWatch r="G43530"/>
    <cellWatch r="G43531"/>
    <cellWatch r="G43532"/>
    <cellWatch r="G43533"/>
    <cellWatch r="G43534"/>
    <cellWatch r="G43535"/>
    <cellWatch r="G43536"/>
    <cellWatch r="G43537"/>
    <cellWatch r="G43538"/>
    <cellWatch r="G43539"/>
    <cellWatch r="G43540"/>
    <cellWatch r="G43541"/>
    <cellWatch r="G43542"/>
    <cellWatch r="G43543"/>
    <cellWatch r="G43544"/>
    <cellWatch r="G43545"/>
    <cellWatch r="G43546"/>
    <cellWatch r="G43547"/>
    <cellWatch r="G43548"/>
    <cellWatch r="G43549"/>
    <cellWatch r="G43550"/>
    <cellWatch r="G43551"/>
    <cellWatch r="G43552"/>
    <cellWatch r="G43553"/>
    <cellWatch r="G43554"/>
    <cellWatch r="G43555"/>
    <cellWatch r="G43556"/>
    <cellWatch r="G43557"/>
    <cellWatch r="G43558"/>
    <cellWatch r="G43559"/>
    <cellWatch r="G43560"/>
    <cellWatch r="G43561"/>
    <cellWatch r="G43562"/>
    <cellWatch r="G43563"/>
    <cellWatch r="G43564"/>
    <cellWatch r="G43565"/>
    <cellWatch r="G43566"/>
    <cellWatch r="G43567"/>
    <cellWatch r="G43568"/>
    <cellWatch r="G43569"/>
    <cellWatch r="G43570"/>
    <cellWatch r="G43571"/>
    <cellWatch r="G43572"/>
    <cellWatch r="G43573"/>
    <cellWatch r="G43574"/>
    <cellWatch r="G43575"/>
    <cellWatch r="G43576"/>
    <cellWatch r="G43577"/>
    <cellWatch r="G43578"/>
    <cellWatch r="G43579"/>
    <cellWatch r="G43580"/>
    <cellWatch r="G43581"/>
    <cellWatch r="G43582"/>
    <cellWatch r="G43583"/>
    <cellWatch r="G43584"/>
    <cellWatch r="G43585"/>
    <cellWatch r="G43586"/>
    <cellWatch r="G43587"/>
    <cellWatch r="G43588"/>
    <cellWatch r="G43589"/>
    <cellWatch r="G43590"/>
    <cellWatch r="G43591"/>
    <cellWatch r="G43592"/>
    <cellWatch r="G43593"/>
    <cellWatch r="G43594"/>
    <cellWatch r="G43595"/>
    <cellWatch r="G43596"/>
    <cellWatch r="G43597"/>
    <cellWatch r="G43598"/>
    <cellWatch r="G43599"/>
    <cellWatch r="G43600"/>
    <cellWatch r="G43601"/>
    <cellWatch r="G43602"/>
    <cellWatch r="G43603"/>
    <cellWatch r="G43604"/>
    <cellWatch r="G43605"/>
    <cellWatch r="G43606"/>
    <cellWatch r="G43607"/>
    <cellWatch r="G43608"/>
    <cellWatch r="G43609"/>
    <cellWatch r="G43610"/>
    <cellWatch r="G43611"/>
    <cellWatch r="G43612"/>
    <cellWatch r="G43613"/>
    <cellWatch r="G43614"/>
    <cellWatch r="G43615"/>
    <cellWatch r="G43616"/>
    <cellWatch r="G43617"/>
    <cellWatch r="G43618"/>
    <cellWatch r="G43619"/>
    <cellWatch r="G43620"/>
    <cellWatch r="G43621"/>
    <cellWatch r="G43622"/>
    <cellWatch r="G43623"/>
    <cellWatch r="G43624"/>
    <cellWatch r="G43625"/>
    <cellWatch r="G43626"/>
    <cellWatch r="G43627"/>
    <cellWatch r="G43628"/>
    <cellWatch r="G43629"/>
    <cellWatch r="G43630"/>
    <cellWatch r="G43631"/>
    <cellWatch r="G43632"/>
    <cellWatch r="G43633"/>
    <cellWatch r="G43634"/>
    <cellWatch r="G43635"/>
    <cellWatch r="G43636"/>
    <cellWatch r="G43637"/>
    <cellWatch r="G43638"/>
    <cellWatch r="G43639"/>
    <cellWatch r="G43640"/>
    <cellWatch r="G43641"/>
    <cellWatch r="G43642"/>
    <cellWatch r="G43643"/>
    <cellWatch r="G43644"/>
    <cellWatch r="G43645"/>
    <cellWatch r="G43646"/>
    <cellWatch r="G43647"/>
    <cellWatch r="G43648"/>
    <cellWatch r="G43649"/>
    <cellWatch r="G43650"/>
    <cellWatch r="G43651"/>
    <cellWatch r="G43652"/>
    <cellWatch r="G43653"/>
    <cellWatch r="G43654"/>
    <cellWatch r="G43655"/>
    <cellWatch r="G43656"/>
    <cellWatch r="G43657"/>
    <cellWatch r="G43658"/>
    <cellWatch r="G43659"/>
    <cellWatch r="G43660"/>
    <cellWatch r="G43661"/>
    <cellWatch r="G43662"/>
    <cellWatch r="G43663"/>
    <cellWatch r="G43664"/>
    <cellWatch r="G43665"/>
    <cellWatch r="G43666"/>
    <cellWatch r="G43667"/>
    <cellWatch r="G43668"/>
    <cellWatch r="G43669"/>
    <cellWatch r="G43670"/>
    <cellWatch r="G43671"/>
    <cellWatch r="G43672"/>
    <cellWatch r="G43673"/>
    <cellWatch r="G43674"/>
    <cellWatch r="G43675"/>
    <cellWatch r="G43676"/>
    <cellWatch r="G43677"/>
    <cellWatch r="G43678"/>
    <cellWatch r="G43679"/>
    <cellWatch r="G43680"/>
    <cellWatch r="G43681"/>
    <cellWatch r="G43682"/>
    <cellWatch r="G43683"/>
    <cellWatch r="G43684"/>
    <cellWatch r="G43685"/>
    <cellWatch r="G43686"/>
    <cellWatch r="G43687"/>
    <cellWatch r="G43688"/>
    <cellWatch r="G43689"/>
    <cellWatch r="G43690"/>
    <cellWatch r="G43691"/>
    <cellWatch r="G43692"/>
    <cellWatch r="G43693"/>
    <cellWatch r="G43694"/>
    <cellWatch r="G43695"/>
    <cellWatch r="G43696"/>
    <cellWatch r="G43697"/>
    <cellWatch r="G43698"/>
    <cellWatch r="G43699"/>
    <cellWatch r="G43700"/>
    <cellWatch r="G43701"/>
    <cellWatch r="G43702"/>
    <cellWatch r="G43703"/>
    <cellWatch r="G43704"/>
    <cellWatch r="G43705"/>
    <cellWatch r="G43706"/>
    <cellWatch r="G43707"/>
    <cellWatch r="G43708"/>
    <cellWatch r="G43709"/>
    <cellWatch r="G43710"/>
    <cellWatch r="G43711"/>
    <cellWatch r="G43712"/>
    <cellWatch r="G43713"/>
    <cellWatch r="G43714"/>
    <cellWatch r="G43715"/>
    <cellWatch r="G43716"/>
    <cellWatch r="G43717"/>
    <cellWatch r="G43718"/>
    <cellWatch r="G43719"/>
    <cellWatch r="G43720"/>
    <cellWatch r="G43721"/>
    <cellWatch r="G43722"/>
    <cellWatch r="G43723"/>
    <cellWatch r="G43724"/>
    <cellWatch r="G43725"/>
    <cellWatch r="G43726"/>
    <cellWatch r="G43727"/>
    <cellWatch r="G43728"/>
    <cellWatch r="G43729"/>
    <cellWatch r="G43730"/>
    <cellWatch r="G43731"/>
    <cellWatch r="G43732"/>
    <cellWatch r="G43733"/>
    <cellWatch r="G43734"/>
    <cellWatch r="G43735"/>
    <cellWatch r="G43736"/>
    <cellWatch r="G43737"/>
    <cellWatch r="G43738"/>
    <cellWatch r="G43739"/>
    <cellWatch r="G43740"/>
    <cellWatch r="G43741"/>
    <cellWatch r="G43742"/>
    <cellWatch r="G43743"/>
    <cellWatch r="G43744"/>
    <cellWatch r="G43745"/>
    <cellWatch r="G43746"/>
    <cellWatch r="G43747"/>
    <cellWatch r="G43748"/>
    <cellWatch r="G43749"/>
    <cellWatch r="G43750"/>
    <cellWatch r="G43751"/>
    <cellWatch r="G43752"/>
    <cellWatch r="G43753"/>
    <cellWatch r="G43754"/>
    <cellWatch r="G43755"/>
    <cellWatch r="G43756"/>
    <cellWatch r="G43757"/>
    <cellWatch r="G43758"/>
    <cellWatch r="G43759"/>
    <cellWatch r="G43760"/>
    <cellWatch r="G43761"/>
    <cellWatch r="G43762"/>
    <cellWatch r="G43763"/>
    <cellWatch r="G43764"/>
    <cellWatch r="G43765"/>
    <cellWatch r="G43766"/>
    <cellWatch r="G43767"/>
    <cellWatch r="G43768"/>
    <cellWatch r="G43769"/>
    <cellWatch r="G43770"/>
    <cellWatch r="G43771"/>
    <cellWatch r="G43772"/>
    <cellWatch r="G43773"/>
    <cellWatch r="G43774"/>
    <cellWatch r="G43775"/>
    <cellWatch r="G43776"/>
    <cellWatch r="G43777"/>
    <cellWatch r="G43778"/>
    <cellWatch r="G43779"/>
    <cellWatch r="G43780"/>
    <cellWatch r="G43781"/>
    <cellWatch r="G43782"/>
    <cellWatch r="G43783"/>
    <cellWatch r="G43784"/>
    <cellWatch r="G43785"/>
    <cellWatch r="G43786"/>
    <cellWatch r="G43787"/>
    <cellWatch r="G43788"/>
    <cellWatch r="G43789"/>
    <cellWatch r="G43790"/>
    <cellWatch r="G43791"/>
    <cellWatch r="G43792"/>
    <cellWatch r="G43793"/>
    <cellWatch r="G43794"/>
    <cellWatch r="G43795"/>
    <cellWatch r="G43796"/>
    <cellWatch r="G43797"/>
    <cellWatch r="G43798"/>
    <cellWatch r="G43799"/>
    <cellWatch r="G43800"/>
    <cellWatch r="G43801"/>
    <cellWatch r="G43802"/>
    <cellWatch r="G43803"/>
    <cellWatch r="G43804"/>
    <cellWatch r="G43805"/>
    <cellWatch r="G43806"/>
    <cellWatch r="G43807"/>
    <cellWatch r="G43808"/>
    <cellWatch r="G43809"/>
    <cellWatch r="G43810"/>
    <cellWatch r="G43811"/>
    <cellWatch r="G43812"/>
    <cellWatch r="G43813"/>
    <cellWatch r="G43814"/>
    <cellWatch r="G43815"/>
    <cellWatch r="G43816"/>
    <cellWatch r="G43817"/>
    <cellWatch r="G43818"/>
    <cellWatch r="G43819"/>
    <cellWatch r="G43820"/>
    <cellWatch r="G43821"/>
    <cellWatch r="G43822"/>
    <cellWatch r="G43823"/>
    <cellWatch r="G43824"/>
    <cellWatch r="G43825"/>
    <cellWatch r="G43826"/>
    <cellWatch r="G43827"/>
    <cellWatch r="G43828"/>
    <cellWatch r="G43829"/>
    <cellWatch r="G43830"/>
    <cellWatch r="G43831"/>
    <cellWatch r="G43832"/>
    <cellWatch r="G43833"/>
    <cellWatch r="G43834"/>
    <cellWatch r="G43835"/>
    <cellWatch r="G43836"/>
    <cellWatch r="G43837"/>
    <cellWatch r="G43838"/>
    <cellWatch r="G43839"/>
    <cellWatch r="G43840"/>
    <cellWatch r="G43841"/>
    <cellWatch r="G43842"/>
    <cellWatch r="G43843"/>
    <cellWatch r="G43844"/>
    <cellWatch r="G43845"/>
    <cellWatch r="G43846"/>
    <cellWatch r="G43847"/>
    <cellWatch r="G43848"/>
    <cellWatch r="G43849"/>
    <cellWatch r="G43850"/>
    <cellWatch r="G43851"/>
    <cellWatch r="G43852"/>
    <cellWatch r="G43853"/>
    <cellWatch r="G43854"/>
    <cellWatch r="G43855"/>
    <cellWatch r="G43856"/>
    <cellWatch r="G43857"/>
    <cellWatch r="G43858"/>
    <cellWatch r="G43859"/>
    <cellWatch r="G43860"/>
    <cellWatch r="G43861"/>
    <cellWatch r="G43862"/>
    <cellWatch r="G43863"/>
    <cellWatch r="G43864"/>
    <cellWatch r="G43865"/>
    <cellWatch r="G43866"/>
    <cellWatch r="G43867"/>
    <cellWatch r="G43868"/>
    <cellWatch r="G43869"/>
    <cellWatch r="G43870"/>
    <cellWatch r="G43871"/>
    <cellWatch r="G43872"/>
    <cellWatch r="G43873"/>
    <cellWatch r="G43874"/>
    <cellWatch r="G43875"/>
    <cellWatch r="G43876"/>
    <cellWatch r="G43877"/>
    <cellWatch r="G43878"/>
    <cellWatch r="G43879"/>
    <cellWatch r="G43880"/>
    <cellWatch r="G43881"/>
    <cellWatch r="G43882"/>
    <cellWatch r="G43883"/>
    <cellWatch r="G43884"/>
    <cellWatch r="G43885"/>
    <cellWatch r="G43886"/>
    <cellWatch r="G43887"/>
    <cellWatch r="G43888"/>
    <cellWatch r="G43889"/>
    <cellWatch r="G43890"/>
    <cellWatch r="G43891"/>
    <cellWatch r="G43892"/>
    <cellWatch r="G43893"/>
    <cellWatch r="G43894"/>
    <cellWatch r="G43895"/>
    <cellWatch r="G43896"/>
    <cellWatch r="G43897"/>
    <cellWatch r="G43898"/>
    <cellWatch r="G43899"/>
    <cellWatch r="G43900"/>
    <cellWatch r="G43901"/>
    <cellWatch r="G43902"/>
    <cellWatch r="G43903"/>
    <cellWatch r="G43904"/>
    <cellWatch r="G43905"/>
    <cellWatch r="G43906"/>
    <cellWatch r="G43907"/>
    <cellWatch r="G43908"/>
    <cellWatch r="G43909"/>
    <cellWatch r="G43910"/>
    <cellWatch r="G43911"/>
    <cellWatch r="G43912"/>
    <cellWatch r="G43913"/>
    <cellWatch r="G43914"/>
    <cellWatch r="G43915"/>
    <cellWatch r="G43916"/>
    <cellWatch r="G43917"/>
    <cellWatch r="G43918"/>
    <cellWatch r="G43919"/>
    <cellWatch r="G43920"/>
    <cellWatch r="G43921"/>
    <cellWatch r="G43922"/>
    <cellWatch r="G43923"/>
    <cellWatch r="G43924"/>
    <cellWatch r="G43925"/>
    <cellWatch r="G43926"/>
    <cellWatch r="G43927"/>
    <cellWatch r="G43928"/>
    <cellWatch r="G43929"/>
    <cellWatch r="G43930"/>
    <cellWatch r="G43931"/>
    <cellWatch r="G43932"/>
    <cellWatch r="G43933"/>
    <cellWatch r="G43934"/>
    <cellWatch r="G43935"/>
    <cellWatch r="G43936"/>
    <cellWatch r="G43937"/>
    <cellWatch r="G43938"/>
    <cellWatch r="G43939"/>
    <cellWatch r="G43940"/>
    <cellWatch r="G43941"/>
    <cellWatch r="G43942"/>
    <cellWatch r="G43943"/>
    <cellWatch r="G43944"/>
    <cellWatch r="G43945"/>
    <cellWatch r="G43946"/>
    <cellWatch r="G43947"/>
    <cellWatch r="G43948"/>
    <cellWatch r="G43949"/>
    <cellWatch r="G43950"/>
    <cellWatch r="G43951"/>
    <cellWatch r="G43952"/>
    <cellWatch r="G43953"/>
    <cellWatch r="G43954"/>
    <cellWatch r="G43955"/>
    <cellWatch r="G43956"/>
    <cellWatch r="G43957"/>
    <cellWatch r="G43958"/>
    <cellWatch r="G43959"/>
    <cellWatch r="G43960"/>
    <cellWatch r="G43961"/>
    <cellWatch r="G43962"/>
    <cellWatch r="G43963"/>
    <cellWatch r="G43964"/>
    <cellWatch r="G43965"/>
    <cellWatch r="G43966"/>
    <cellWatch r="G43967"/>
    <cellWatch r="G43968"/>
    <cellWatch r="G43969"/>
    <cellWatch r="G43970"/>
    <cellWatch r="G43971"/>
    <cellWatch r="G43972"/>
    <cellWatch r="G43973"/>
    <cellWatch r="G43974"/>
    <cellWatch r="G43975"/>
    <cellWatch r="G43976"/>
    <cellWatch r="G43977"/>
    <cellWatch r="G43978"/>
    <cellWatch r="G43979"/>
    <cellWatch r="G43980"/>
    <cellWatch r="G43981"/>
    <cellWatch r="G43982"/>
    <cellWatch r="G43983"/>
    <cellWatch r="G43984"/>
    <cellWatch r="G43985"/>
    <cellWatch r="G43986"/>
    <cellWatch r="G43987"/>
    <cellWatch r="G43988"/>
    <cellWatch r="G43989"/>
    <cellWatch r="G43990"/>
    <cellWatch r="G43991"/>
    <cellWatch r="G43992"/>
    <cellWatch r="G43993"/>
    <cellWatch r="G43994"/>
    <cellWatch r="G43995"/>
    <cellWatch r="G43996"/>
    <cellWatch r="G43997"/>
    <cellWatch r="G43998"/>
    <cellWatch r="G43999"/>
    <cellWatch r="G44000"/>
    <cellWatch r="G44001"/>
    <cellWatch r="G44002"/>
    <cellWatch r="G44003"/>
    <cellWatch r="G44004"/>
    <cellWatch r="G44005"/>
    <cellWatch r="G44006"/>
    <cellWatch r="G44007"/>
    <cellWatch r="G44008"/>
    <cellWatch r="G44009"/>
    <cellWatch r="G44010"/>
    <cellWatch r="G44011"/>
    <cellWatch r="G44012"/>
    <cellWatch r="G44013"/>
    <cellWatch r="G44014"/>
    <cellWatch r="G44015"/>
    <cellWatch r="G44016"/>
    <cellWatch r="G44017"/>
    <cellWatch r="G44018"/>
    <cellWatch r="G44019"/>
    <cellWatch r="G44020"/>
    <cellWatch r="G44021"/>
    <cellWatch r="G44022"/>
    <cellWatch r="G44023"/>
    <cellWatch r="G44024"/>
    <cellWatch r="G44025"/>
    <cellWatch r="G44026"/>
    <cellWatch r="G44027"/>
    <cellWatch r="G44028"/>
    <cellWatch r="G44029"/>
    <cellWatch r="G44030"/>
    <cellWatch r="G44031"/>
    <cellWatch r="G44032"/>
    <cellWatch r="G44033"/>
    <cellWatch r="G44034"/>
    <cellWatch r="G44035"/>
    <cellWatch r="G44036"/>
    <cellWatch r="G44037"/>
    <cellWatch r="G44038"/>
    <cellWatch r="G44039"/>
    <cellWatch r="G44040"/>
    <cellWatch r="G44041"/>
    <cellWatch r="G44042"/>
    <cellWatch r="G44043"/>
    <cellWatch r="G44044"/>
    <cellWatch r="G44045"/>
    <cellWatch r="G44046"/>
    <cellWatch r="G44047"/>
    <cellWatch r="G44048"/>
    <cellWatch r="G44049"/>
    <cellWatch r="G44050"/>
    <cellWatch r="G44051"/>
    <cellWatch r="G44052"/>
    <cellWatch r="G44053"/>
    <cellWatch r="G44054"/>
    <cellWatch r="G44055"/>
    <cellWatch r="G44056"/>
    <cellWatch r="G44057"/>
    <cellWatch r="G44058"/>
    <cellWatch r="G44059"/>
    <cellWatch r="G44060"/>
    <cellWatch r="G44061"/>
    <cellWatch r="G44062"/>
    <cellWatch r="G44063"/>
    <cellWatch r="G44064"/>
    <cellWatch r="G44065"/>
    <cellWatch r="G44066"/>
    <cellWatch r="G44067"/>
    <cellWatch r="G44068"/>
    <cellWatch r="G44069"/>
    <cellWatch r="G44070"/>
    <cellWatch r="G44071"/>
    <cellWatch r="G44072"/>
    <cellWatch r="G44073"/>
    <cellWatch r="G44074"/>
    <cellWatch r="G44075"/>
    <cellWatch r="G44076"/>
    <cellWatch r="G44077"/>
    <cellWatch r="G44078"/>
    <cellWatch r="G44079"/>
    <cellWatch r="G44080"/>
    <cellWatch r="G44081"/>
    <cellWatch r="G44082"/>
    <cellWatch r="G44083"/>
    <cellWatch r="G44084"/>
    <cellWatch r="G44085"/>
    <cellWatch r="G44086"/>
    <cellWatch r="G44087"/>
    <cellWatch r="G44088"/>
    <cellWatch r="G44089"/>
    <cellWatch r="G44090"/>
    <cellWatch r="G44091"/>
    <cellWatch r="G44092"/>
    <cellWatch r="G44093"/>
    <cellWatch r="G44094"/>
    <cellWatch r="G44095"/>
    <cellWatch r="G44096"/>
    <cellWatch r="G44097"/>
    <cellWatch r="G44098"/>
    <cellWatch r="G44099"/>
    <cellWatch r="G44100"/>
    <cellWatch r="G44101"/>
    <cellWatch r="G44102"/>
    <cellWatch r="G44103"/>
    <cellWatch r="G44104"/>
    <cellWatch r="G44105"/>
    <cellWatch r="G44106"/>
    <cellWatch r="G44107"/>
    <cellWatch r="G44108"/>
    <cellWatch r="G44109"/>
    <cellWatch r="G44110"/>
    <cellWatch r="G44111"/>
    <cellWatch r="G44112"/>
    <cellWatch r="G44113"/>
    <cellWatch r="G44114"/>
    <cellWatch r="G44115"/>
    <cellWatch r="G44116"/>
    <cellWatch r="G44117"/>
    <cellWatch r="G44118"/>
    <cellWatch r="G44119"/>
    <cellWatch r="G44120"/>
    <cellWatch r="G44121"/>
    <cellWatch r="G44122"/>
    <cellWatch r="G44123"/>
    <cellWatch r="G44124"/>
    <cellWatch r="G44125"/>
    <cellWatch r="G44126"/>
    <cellWatch r="G44127"/>
    <cellWatch r="G44128"/>
    <cellWatch r="G44129"/>
    <cellWatch r="G44130"/>
    <cellWatch r="G44131"/>
    <cellWatch r="G44132"/>
    <cellWatch r="G44133"/>
    <cellWatch r="G44134"/>
    <cellWatch r="G44135"/>
    <cellWatch r="G44136"/>
    <cellWatch r="G44137"/>
    <cellWatch r="G44138"/>
    <cellWatch r="G44139"/>
    <cellWatch r="G44140"/>
    <cellWatch r="G44141"/>
    <cellWatch r="G44142"/>
    <cellWatch r="G44143"/>
    <cellWatch r="G44144"/>
    <cellWatch r="G44145"/>
    <cellWatch r="G44146"/>
    <cellWatch r="G44147"/>
    <cellWatch r="G44148"/>
    <cellWatch r="G44149"/>
    <cellWatch r="G44150"/>
    <cellWatch r="G44151"/>
    <cellWatch r="G44152"/>
    <cellWatch r="G44153"/>
    <cellWatch r="G44154"/>
    <cellWatch r="G44155"/>
    <cellWatch r="G44156"/>
    <cellWatch r="G44157"/>
    <cellWatch r="G44158"/>
    <cellWatch r="G44159"/>
    <cellWatch r="G44160"/>
    <cellWatch r="G44161"/>
    <cellWatch r="G44162"/>
    <cellWatch r="G44163"/>
    <cellWatch r="G44164"/>
    <cellWatch r="G44165"/>
    <cellWatch r="G44166"/>
    <cellWatch r="G44167"/>
    <cellWatch r="G44168"/>
    <cellWatch r="G44169"/>
    <cellWatch r="G44170"/>
    <cellWatch r="G44171"/>
    <cellWatch r="G44172"/>
    <cellWatch r="G44173"/>
    <cellWatch r="G44174"/>
    <cellWatch r="G44175"/>
    <cellWatch r="G44176"/>
    <cellWatch r="G44177"/>
    <cellWatch r="G44178"/>
    <cellWatch r="G44179"/>
    <cellWatch r="G44180"/>
    <cellWatch r="G44181"/>
    <cellWatch r="G44182"/>
    <cellWatch r="G44183"/>
    <cellWatch r="G44184"/>
    <cellWatch r="G44185"/>
    <cellWatch r="G44186"/>
    <cellWatch r="G44187"/>
    <cellWatch r="G44188"/>
    <cellWatch r="G44189"/>
    <cellWatch r="G44190"/>
    <cellWatch r="G44191"/>
    <cellWatch r="G44192"/>
    <cellWatch r="G44193"/>
    <cellWatch r="G44194"/>
    <cellWatch r="G44195"/>
    <cellWatch r="G44196"/>
    <cellWatch r="G44197"/>
    <cellWatch r="G44198"/>
    <cellWatch r="G44199"/>
    <cellWatch r="G44200"/>
    <cellWatch r="G44201"/>
    <cellWatch r="G44202"/>
    <cellWatch r="G44203"/>
    <cellWatch r="G44204"/>
    <cellWatch r="G44205"/>
    <cellWatch r="G44206"/>
    <cellWatch r="G44207"/>
    <cellWatch r="G44208"/>
    <cellWatch r="G44209"/>
    <cellWatch r="G44210"/>
    <cellWatch r="G44211"/>
    <cellWatch r="G44212"/>
    <cellWatch r="G44213"/>
    <cellWatch r="G44214"/>
    <cellWatch r="G44215"/>
    <cellWatch r="G44216"/>
    <cellWatch r="G44217"/>
    <cellWatch r="G44218"/>
    <cellWatch r="G44219"/>
    <cellWatch r="G44220"/>
    <cellWatch r="G44221"/>
    <cellWatch r="G44222"/>
    <cellWatch r="G44223"/>
    <cellWatch r="G44224"/>
    <cellWatch r="G44225"/>
    <cellWatch r="G44226"/>
    <cellWatch r="G44227"/>
    <cellWatch r="G44228"/>
    <cellWatch r="G44229"/>
    <cellWatch r="G44230"/>
    <cellWatch r="G44231"/>
    <cellWatch r="G44232"/>
    <cellWatch r="G44233"/>
    <cellWatch r="G44234"/>
    <cellWatch r="G44235"/>
    <cellWatch r="G44236"/>
    <cellWatch r="G44237"/>
    <cellWatch r="G44238"/>
    <cellWatch r="G44239"/>
    <cellWatch r="G44240"/>
    <cellWatch r="G44241"/>
    <cellWatch r="G44242"/>
    <cellWatch r="G44243"/>
    <cellWatch r="G44244"/>
    <cellWatch r="G44245"/>
    <cellWatch r="G44246"/>
    <cellWatch r="G44247"/>
    <cellWatch r="G44248"/>
    <cellWatch r="G44249"/>
    <cellWatch r="G44250"/>
    <cellWatch r="G44251"/>
    <cellWatch r="G44252"/>
    <cellWatch r="G44253"/>
    <cellWatch r="G44254"/>
    <cellWatch r="G44255"/>
    <cellWatch r="G44256"/>
    <cellWatch r="G44257"/>
    <cellWatch r="G44258"/>
    <cellWatch r="G44259"/>
    <cellWatch r="G44260"/>
    <cellWatch r="G44261"/>
    <cellWatch r="G44262"/>
    <cellWatch r="G44263"/>
    <cellWatch r="G44264"/>
    <cellWatch r="G44265"/>
    <cellWatch r="G44266"/>
    <cellWatch r="G44267"/>
    <cellWatch r="G44268"/>
    <cellWatch r="G44269"/>
    <cellWatch r="G44270"/>
    <cellWatch r="G44271"/>
    <cellWatch r="G44272"/>
    <cellWatch r="G44273"/>
    <cellWatch r="G44274"/>
    <cellWatch r="G44275"/>
    <cellWatch r="G44276"/>
    <cellWatch r="G44277"/>
    <cellWatch r="G44278"/>
    <cellWatch r="G44279"/>
    <cellWatch r="G44280"/>
    <cellWatch r="G44281"/>
    <cellWatch r="G44282"/>
    <cellWatch r="G44283"/>
    <cellWatch r="G44284"/>
    <cellWatch r="G44285"/>
    <cellWatch r="G44286"/>
    <cellWatch r="G44287"/>
    <cellWatch r="G44288"/>
    <cellWatch r="G44289"/>
    <cellWatch r="G44290"/>
    <cellWatch r="G44291"/>
    <cellWatch r="G44292"/>
    <cellWatch r="G44293"/>
    <cellWatch r="G44294"/>
    <cellWatch r="G44295"/>
    <cellWatch r="G44296"/>
    <cellWatch r="G44297"/>
    <cellWatch r="G44298"/>
    <cellWatch r="G44299"/>
    <cellWatch r="G44300"/>
    <cellWatch r="G44301"/>
    <cellWatch r="G44302"/>
    <cellWatch r="G44303"/>
    <cellWatch r="G44304"/>
    <cellWatch r="G44305"/>
    <cellWatch r="G44306"/>
    <cellWatch r="G44307"/>
    <cellWatch r="G44308"/>
    <cellWatch r="G44309"/>
    <cellWatch r="G44310"/>
    <cellWatch r="G44311"/>
    <cellWatch r="G44312"/>
    <cellWatch r="G44313"/>
    <cellWatch r="G44314"/>
    <cellWatch r="G44315"/>
    <cellWatch r="G44316"/>
    <cellWatch r="G44317"/>
    <cellWatch r="G44318"/>
    <cellWatch r="G44319"/>
    <cellWatch r="G44320"/>
    <cellWatch r="G44321"/>
    <cellWatch r="G44322"/>
    <cellWatch r="G44323"/>
    <cellWatch r="G44324"/>
    <cellWatch r="G44325"/>
    <cellWatch r="G44326"/>
    <cellWatch r="G44327"/>
    <cellWatch r="G44328"/>
    <cellWatch r="G44329"/>
    <cellWatch r="G44330"/>
    <cellWatch r="G44331"/>
    <cellWatch r="G44332"/>
    <cellWatch r="G44333"/>
    <cellWatch r="G44334"/>
    <cellWatch r="G44335"/>
    <cellWatch r="G44336"/>
    <cellWatch r="G44337"/>
    <cellWatch r="G44338"/>
    <cellWatch r="G44339"/>
    <cellWatch r="G44340"/>
    <cellWatch r="G44341"/>
    <cellWatch r="G44342"/>
    <cellWatch r="G44343"/>
    <cellWatch r="G44344"/>
    <cellWatch r="G44345"/>
    <cellWatch r="G44346"/>
    <cellWatch r="G44347"/>
    <cellWatch r="G44348"/>
    <cellWatch r="G44349"/>
    <cellWatch r="G44350"/>
    <cellWatch r="G44351"/>
    <cellWatch r="G44352"/>
    <cellWatch r="G44353"/>
    <cellWatch r="G44354"/>
    <cellWatch r="G44355"/>
    <cellWatch r="G44356"/>
    <cellWatch r="G44357"/>
    <cellWatch r="G44358"/>
    <cellWatch r="G44359"/>
    <cellWatch r="G44360"/>
    <cellWatch r="G44361"/>
    <cellWatch r="G44362"/>
    <cellWatch r="G44363"/>
    <cellWatch r="G44364"/>
    <cellWatch r="G44365"/>
    <cellWatch r="G44366"/>
    <cellWatch r="G44367"/>
    <cellWatch r="G44368"/>
    <cellWatch r="G44369"/>
    <cellWatch r="G44370"/>
    <cellWatch r="G44371"/>
    <cellWatch r="G44372"/>
    <cellWatch r="G44373"/>
    <cellWatch r="G44374"/>
    <cellWatch r="G44375"/>
    <cellWatch r="G44376"/>
    <cellWatch r="G44377"/>
    <cellWatch r="G44378"/>
    <cellWatch r="G44379"/>
    <cellWatch r="G44380"/>
    <cellWatch r="G44381"/>
    <cellWatch r="G44382"/>
    <cellWatch r="G44383"/>
    <cellWatch r="G44384"/>
    <cellWatch r="G44385"/>
    <cellWatch r="G44386"/>
    <cellWatch r="G44387"/>
    <cellWatch r="G44388"/>
    <cellWatch r="G44389"/>
    <cellWatch r="G44390"/>
    <cellWatch r="G44391"/>
    <cellWatch r="G44392"/>
    <cellWatch r="G44393"/>
    <cellWatch r="G44394"/>
    <cellWatch r="G44395"/>
    <cellWatch r="G44396"/>
    <cellWatch r="G44397"/>
    <cellWatch r="G44398"/>
    <cellWatch r="G44399"/>
    <cellWatch r="G44400"/>
    <cellWatch r="G44401"/>
    <cellWatch r="G44402"/>
    <cellWatch r="G44403"/>
    <cellWatch r="G44404"/>
    <cellWatch r="G44405"/>
    <cellWatch r="G44406"/>
    <cellWatch r="G44407"/>
    <cellWatch r="G44408"/>
    <cellWatch r="G44409"/>
    <cellWatch r="G44410"/>
    <cellWatch r="G44411"/>
    <cellWatch r="G44412"/>
    <cellWatch r="G44413"/>
    <cellWatch r="G44414"/>
    <cellWatch r="G44415"/>
    <cellWatch r="G44416"/>
    <cellWatch r="G44417"/>
    <cellWatch r="G44418"/>
    <cellWatch r="G44419"/>
    <cellWatch r="G44420"/>
    <cellWatch r="G44421"/>
    <cellWatch r="G44422"/>
    <cellWatch r="G44423"/>
    <cellWatch r="G44424"/>
    <cellWatch r="G44425"/>
    <cellWatch r="G44426"/>
    <cellWatch r="G44427"/>
    <cellWatch r="G44428"/>
    <cellWatch r="G44429"/>
    <cellWatch r="G44430"/>
    <cellWatch r="G44431"/>
    <cellWatch r="G44432"/>
    <cellWatch r="G44433"/>
    <cellWatch r="G44434"/>
    <cellWatch r="G44435"/>
    <cellWatch r="G44436"/>
    <cellWatch r="G44437"/>
    <cellWatch r="G44438"/>
    <cellWatch r="G44439"/>
    <cellWatch r="G44440"/>
    <cellWatch r="G44441"/>
    <cellWatch r="G44442"/>
    <cellWatch r="G44443"/>
    <cellWatch r="G44444"/>
    <cellWatch r="G44445"/>
    <cellWatch r="G44446"/>
    <cellWatch r="G44447"/>
    <cellWatch r="G44448"/>
    <cellWatch r="G44449"/>
    <cellWatch r="G44450"/>
    <cellWatch r="G44451"/>
    <cellWatch r="G44452"/>
    <cellWatch r="G44453"/>
    <cellWatch r="G44454"/>
    <cellWatch r="G44455"/>
    <cellWatch r="G44456"/>
    <cellWatch r="G44457"/>
    <cellWatch r="G44458"/>
    <cellWatch r="G44459"/>
    <cellWatch r="G44460"/>
    <cellWatch r="G44461"/>
    <cellWatch r="G44462"/>
    <cellWatch r="G44463"/>
    <cellWatch r="G44464"/>
    <cellWatch r="G44465"/>
    <cellWatch r="G44466"/>
    <cellWatch r="G44467"/>
    <cellWatch r="G44468"/>
    <cellWatch r="G44469"/>
    <cellWatch r="G44470"/>
    <cellWatch r="G44471"/>
    <cellWatch r="G44472"/>
    <cellWatch r="G44473"/>
    <cellWatch r="G44474"/>
    <cellWatch r="G44475"/>
    <cellWatch r="G44476"/>
    <cellWatch r="G44477"/>
    <cellWatch r="G44478"/>
    <cellWatch r="G44479"/>
    <cellWatch r="G44480"/>
    <cellWatch r="G44481"/>
    <cellWatch r="G44482"/>
    <cellWatch r="G44483"/>
    <cellWatch r="G44484"/>
    <cellWatch r="G44485"/>
    <cellWatch r="G44486"/>
    <cellWatch r="G44487"/>
    <cellWatch r="G44488"/>
    <cellWatch r="G44489"/>
    <cellWatch r="G44490"/>
    <cellWatch r="G44491"/>
    <cellWatch r="G44492"/>
    <cellWatch r="G44493"/>
    <cellWatch r="G44494"/>
    <cellWatch r="G44495"/>
    <cellWatch r="G44496"/>
    <cellWatch r="G44497"/>
    <cellWatch r="G44498"/>
    <cellWatch r="G44499"/>
    <cellWatch r="G44500"/>
    <cellWatch r="G44501"/>
    <cellWatch r="G44502"/>
    <cellWatch r="G44503"/>
    <cellWatch r="G44504"/>
    <cellWatch r="G44505"/>
    <cellWatch r="G44506"/>
    <cellWatch r="G44507"/>
    <cellWatch r="G44508"/>
    <cellWatch r="G44509"/>
    <cellWatch r="G44510"/>
    <cellWatch r="G44511"/>
    <cellWatch r="G44512"/>
    <cellWatch r="G44513"/>
    <cellWatch r="G44514"/>
    <cellWatch r="G44515"/>
    <cellWatch r="G44516"/>
    <cellWatch r="G44517"/>
    <cellWatch r="G44518"/>
    <cellWatch r="G44519"/>
    <cellWatch r="G44520"/>
    <cellWatch r="G44521"/>
    <cellWatch r="G44522"/>
    <cellWatch r="G44523"/>
    <cellWatch r="G44524"/>
    <cellWatch r="G44525"/>
    <cellWatch r="G44526"/>
    <cellWatch r="G44527"/>
    <cellWatch r="G44528"/>
    <cellWatch r="G44529"/>
    <cellWatch r="G44530"/>
    <cellWatch r="G44531"/>
    <cellWatch r="G44532"/>
    <cellWatch r="G44533"/>
    <cellWatch r="G44534"/>
    <cellWatch r="G44535"/>
    <cellWatch r="G44536"/>
    <cellWatch r="G44537"/>
    <cellWatch r="G44538"/>
    <cellWatch r="G44539"/>
    <cellWatch r="G44540"/>
    <cellWatch r="G44541"/>
    <cellWatch r="G44542"/>
    <cellWatch r="G44543"/>
    <cellWatch r="G44544"/>
    <cellWatch r="G44545"/>
    <cellWatch r="G44546"/>
    <cellWatch r="G44547"/>
    <cellWatch r="G44548"/>
    <cellWatch r="G44549"/>
    <cellWatch r="G44550"/>
    <cellWatch r="G44551"/>
    <cellWatch r="G44552"/>
    <cellWatch r="G44553"/>
    <cellWatch r="G44554"/>
    <cellWatch r="G44555"/>
    <cellWatch r="G44556"/>
    <cellWatch r="G44557"/>
    <cellWatch r="G44558"/>
    <cellWatch r="G44559"/>
    <cellWatch r="G44560"/>
    <cellWatch r="G44561"/>
    <cellWatch r="G44562"/>
    <cellWatch r="G44563"/>
    <cellWatch r="G44564"/>
    <cellWatch r="G44565"/>
    <cellWatch r="G44566"/>
    <cellWatch r="G44567"/>
    <cellWatch r="G44568"/>
    <cellWatch r="G44569"/>
    <cellWatch r="G44570"/>
    <cellWatch r="G44571"/>
    <cellWatch r="G44572"/>
    <cellWatch r="G44573"/>
    <cellWatch r="G44574"/>
    <cellWatch r="G44575"/>
    <cellWatch r="G44576"/>
    <cellWatch r="G44577"/>
    <cellWatch r="G44578"/>
    <cellWatch r="G44579"/>
    <cellWatch r="G44580"/>
    <cellWatch r="G44581"/>
    <cellWatch r="G44582"/>
    <cellWatch r="G44583"/>
    <cellWatch r="G44584"/>
    <cellWatch r="G44585"/>
    <cellWatch r="G44586"/>
    <cellWatch r="G44587"/>
    <cellWatch r="G44588"/>
    <cellWatch r="G44589"/>
    <cellWatch r="G44590"/>
    <cellWatch r="G44591"/>
    <cellWatch r="G44592"/>
    <cellWatch r="G44593"/>
    <cellWatch r="G44594"/>
    <cellWatch r="G44595"/>
    <cellWatch r="G44596"/>
    <cellWatch r="G44597"/>
    <cellWatch r="G44598"/>
    <cellWatch r="G44599"/>
    <cellWatch r="G44600"/>
    <cellWatch r="G44601"/>
    <cellWatch r="G44602"/>
    <cellWatch r="G44603"/>
    <cellWatch r="G44604"/>
    <cellWatch r="G44605"/>
    <cellWatch r="G44606"/>
    <cellWatch r="G44607"/>
    <cellWatch r="G44608"/>
    <cellWatch r="G44609"/>
    <cellWatch r="G44610"/>
    <cellWatch r="G44611"/>
    <cellWatch r="G44612"/>
    <cellWatch r="G44613"/>
    <cellWatch r="G44614"/>
    <cellWatch r="G44615"/>
    <cellWatch r="G44616"/>
    <cellWatch r="G44617"/>
    <cellWatch r="G44618"/>
    <cellWatch r="G44619"/>
    <cellWatch r="G44620"/>
    <cellWatch r="G44621"/>
    <cellWatch r="G44622"/>
    <cellWatch r="G44623"/>
    <cellWatch r="G44624"/>
    <cellWatch r="G44625"/>
    <cellWatch r="G44626"/>
    <cellWatch r="G44627"/>
    <cellWatch r="G44628"/>
    <cellWatch r="G44629"/>
    <cellWatch r="G44630"/>
    <cellWatch r="G44631"/>
    <cellWatch r="G44632"/>
    <cellWatch r="G44633"/>
    <cellWatch r="G44634"/>
    <cellWatch r="G44635"/>
    <cellWatch r="G44636"/>
    <cellWatch r="G44637"/>
    <cellWatch r="G44638"/>
    <cellWatch r="G44639"/>
    <cellWatch r="G44640"/>
    <cellWatch r="G44641"/>
    <cellWatch r="G44642"/>
    <cellWatch r="G44643"/>
    <cellWatch r="G44644"/>
    <cellWatch r="G44645"/>
    <cellWatch r="G44646"/>
    <cellWatch r="G44647"/>
    <cellWatch r="G44648"/>
    <cellWatch r="G44649"/>
    <cellWatch r="G44650"/>
    <cellWatch r="G44651"/>
    <cellWatch r="G44652"/>
    <cellWatch r="G44653"/>
    <cellWatch r="G44654"/>
    <cellWatch r="G44655"/>
    <cellWatch r="G44656"/>
    <cellWatch r="G44657"/>
    <cellWatch r="G44658"/>
    <cellWatch r="G44659"/>
    <cellWatch r="G44660"/>
    <cellWatch r="G44661"/>
    <cellWatch r="G44662"/>
    <cellWatch r="G44663"/>
    <cellWatch r="G44664"/>
    <cellWatch r="G44665"/>
    <cellWatch r="G44666"/>
    <cellWatch r="G44667"/>
    <cellWatch r="G44668"/>
    <cellWatch r="G44669"/>
    <cellWatch r="G44670"/>
    <cellWatch r="G44671"/>
    <cellWatch r="G44672"/>
    <cellWatch r="G44673"/>
    <cellWatch r="G44674"/>
    <cellWatch r="G44675"/>
    <cellWatch r="G44676"/>
    <cellWatch r="G44677"/>
    <cellWatch r="G44678"/>
    <cellWatch r="G44679"/>
    <cellWatch r="G44680"/>
    <cellWatch r="G44681"/>
    <cellWatch r="G44682"/>
    <cellWatch r="G44683"/>
    <cellWatch r="G44684"/>
    <cellWatch r="G44685"/>
    <cellWatch r="G44686"/>
    <cellWatch r="G44687"/>
    <cellWatch r="G44688"/>
    <cellWatch r="G44689"/>
    <cellWatch r="G44690"/>
    <cellWatch r="G44691"/>
    <cellWatch r="G44692"/>
    <cellWatch r="G44693"/>
    <cellWatch r="G44694"/>
    <cellWatch r="G44695"/>
    <cellWatch r="G44696"/>
    <cellWatch r="G44697"/>
    <cellWatch r="G44698"/>
    <cellWatch r="G44699"/>
    <cellWatch r="G44700"/>
    <cellWatch r="G44701"/>
    <cellWatch r="G44702"/>
    <cellWatch r="G44703"/>
    <cellWatch r="G44704"/>
    <cellWatch r="G44705"/>
    <cellWatch r="G44706"/>
    <cellWatch r="G44707"/>
    <cellWatch r="G44708"/>
    <cellWatch r="G44709"/>
    <cellWatch r="G44710"/>
    <cellWatch r="G44711"/>
    <cellWatch r="G44712"/>
    <cellWatch r="G44713"/>
    <cellWatch r="G44714"/>
    <cellWatch r="G44715"/>
    <cellWatch r="G44716"/>
    <cellWatch r="G44717"/>
    <cellWatch r="G44718"/>
    <cellWatch r="G44719"/>
    <cellWatch r="G44720"/>
    <cellWatch r="G44721"/>
    <cellWatch r="G44722"/>
    <cellWatch r="G44723"/>
    <cellWatch r="G44724"/>
    <cellWatch r="G44725"/>
    <cellWatch r="G44726"/>
    <cellWatch r="G44727"/>
    <cellWatch r="G44728"/>
    <cellWatch r="G44729"/>
    <cellWatch r="G44730"/>
    <cellWatch r="G44731"/>
    <cellWatch r="G44732"/>
    <cellWatch r="G44733"/>
    <cellWatch r="G44734"/>
    <cellWatch r="G44735"/>
    <cellWatch r="G44736"/>
    <cellWatch r="G44737"/>
    <cellWatch r="G44738"/>
    <cellWatch r="G44739"/>
    <cellWatch r="G44740"/>
    <cellWatch r="G44741"/>
    <cellWatch r="G44742"/>
    <cellWatch r="G44743"/>
    <cellWatch r="G44744"/>
    <cellWatch r="G44745"/>
    <cellWatch r="G44746"/>
    <cellWatch r="G44747"/>
    <cellWatch r="G44748"/>
    <cellWatch r="G44749"/>
    <cellWatch r="G44750"/>
    <cellWatch r="G44751"/>
    <cellWatch r="G44752"/>
    <cellWatch r="G44753"/>
    <cellWatch r="G44754"/>
    <cellWatch r="G44755"/>
    <cellWatch r="G44756"/>
    <cellWatch r="G44757"/>
    <cellWatch r="G44758"/>
    <cellWatch r="G44759"/>
    <cellWatch r="G44760"/>
    <cellWatch r="G44761"/>
    <cellWatch r="G44762"/>
    <cellWatch r="G44763"/>
    <cellWatch r="G44764"/>
    <cellWatch r="G44765"/>
    <cellWatch r="G44766"/>
    <cellWatch r="G44767"/>
    <cellWatch r="G44768"/>
    <cellWatch r="G44769"/>
    <cellWatch r="G44770"/>
    <cellWatch r="G44771"/>
    <cellWatch r="G44772"/>
    <cellWatch r="G44773"/>
    <cellWatch r="G44774"/>
    <cellWatch r="G44775"/>
    <cellWatch r="G44776"/>
    <cellWatch r="G44777"/>
    <cellWatch r="G44778"/>
    <cellWatch r="G44779"/>
    <cellWatch r="G44780"/>
    <cellWatch r="G44781"/>
    <cellWatch r="G44782"/>
    <cellWatch r="G44783"/>
    <cellWatch r="G44784"/>
    <cellWatch r="G44785"/>
    <cellWatch r="G44786"/>
    <cellWatch r="G44787"/>
    <cellWatch r="G44788"/>
    <cellWatch r="G44789"/>
    <cellWatch r="G44790"/>
    <cellWatch r="G44791"/>
    <cellWatch r="G44792"/>
    <cellWatch r="G44793"/>
    <cellWatch r="G44794"/>
    <cellWatch r="G44795"/>
    <cellWatch r="G44796"/>
    <cellWatch r="G44797"/>
    <cellWatch r="G44798"/>
    <cellWatch r="G44799"/>
    <cellWatch r="G44800"/>
    <cellWatch r="G44801"/>
    <cellWatch r="G44802"/>
    <cellWatch r="G44803"/>
    <cellWatch r="G44804"/>
    <cellWatch r="G44805"/>
    <cellWatch r="G44806"/>
    <cellWatch r="G44807"/>
    <cellWatch r="G44808"/>
    <cellWatch r="G44809"/>
    <cellWatch r="G44810"/>
    <cellWatch r="G44811"/>
    <cellWatch r="G44812"/>
    <cellWatch r="G44813"/>
    <cellWatch r="G44814"/>
    <cellWatch r="G44815"/>
    <cellWatch r="G44816"/>
    <cellWatch r="G44817"/>
    <cellWatch r="G44818"/>
    <cellWatch r="G44819"/>
    <cellWatch r="G44820"/>
    <cellWatch r="G44821"/>
    <cellWatch r="G44822"/>
    <cellWatch r="G44823"/>
    <cellWatch r="G44824"/>
    <cellWatch r="G44825"/>
    <cellWatch r="G44826"/>
    <cellWatch r="G44827"/>
    <cellWatch r="G44828"/>
    <cellWatch r="G44829"/>
    <cellWatch r="G44830"/>
    <cellWatch r="G44831"/>
    <cellWatch r="G44832"/>
    <cellWatch r="G44833"/>
    <cellWatch r="G44834"/>
    <cellWatch r="G44835"/>
    <cellWatch r="G44836"/>
    <cellWatch r="G44837"/>
    <cellWatch r="G44838"/>
    <cellWatch r="G44839"/>
    <cellWatch r="G44840"/>
    <cellWatch r="G44841"/>
    <cellWatch r="G44842"/>
    <cellWatch r="G44843"/>
    <cellWatch r="G44844"/>
    <cellWatch r="G44845"/>
    <cellWatch r="G44846"/>
    <cellWatch r="G44847"/>
    <cellWatch r="G44848"/>
    <cellWatch r="G44849"/>
    <cellWatch r="G44850"/>
    <cellWatch r="G44851"/>
    <cellWatch r="G44852"/>
    <cellWatch r="G44853"/>
    <cellWatch r="G44854"/>
    <cellWatch r="G44855"/>
    <cellWatch r="G44856"/>
    <cellWatch r="G44857"/>
    <cellWatch r="G44858"/>
    <cellWatch r="G44859"/>
    <cellWatch r="G44860"/>
    <cellWatch r="G44861"/>
    <cellWatch r="G44862"/>
    <cellWatch r="G44863"/>
    <cellWatch r="G44864"/>
    <cellWatch r="G44865"/>
    <cellWatch r="G44866"/>
    <cellWatch r="G44867"/>
    <cellWatch r="G44868"/>
    <cellWatch r="G44869"/>
    <cellWatch r="G44870"/>
    <cellWatch r="G44871"/>
    <cellWatch r="G44872"/>
    <cellWatch r="G44873"/>
    <cellWatch r="G44874"/>
    <cellWatch r="G44875"/>
    <cellWatch r="G44876"/>
    <cellWatch r="G44877"/>
    <cellWatch r="G44878"/>
    <cellWatch r="G44879"/>
    <cellWatch r="G44880"/>
    <cellWatch r="G44881"/>
    <cellWatch r="G44882"/>
    <cellWatch r="G44883"/>
    <cellWatch r="G44884"/>
    <cellWatch r="G44885"/>
    <cellWatch r="G44886"/>
    <cellWatch r="G44887"/>
    <cellWatch r="G44888"/>
    <cellWatch r="G44889"/>
    <cellWatch r="G44890"/>
    <cellWatch r="G44891"/>
    <cellWatch r="G44892"/>
    <cellWatch r="G44893"/>
    <cellWatch r="G44894"/>
    <cellWatch r="G44895"/>
    <cellWatch r="G44896"/>
    <cellWatch r="G44897"/>
    <cellWatch r="G44898"/>
    <cellWatch r="G44899"/>
    <cellWatch r="G44900"/>
    <cellWatch r="G44901"/>
    <cellWatch r="G44902"/>
    <cellWatch r="G44903"/>
    <cellWatch r="G44904"/>
    <cellWatch r="G44905"/>
    <cellWatch r="G44906"/>
    <cellWatch r="G44907"/>
    <cellWatch r="G44908"/>
    <cellWatch r="G44909"/>
    <cellWatch r="G44910"/>
    <cellWatch r="G44911"/>
    <cellWatch r="G44912"/>
    <cellWatch r="G44913"/>
    <cellWatch r="G44914"/>
    <cellWatch r="G44915"/>
    <cellWatch r="G44916"/>
    <cellWatch r="G44917"/>
    <cellWatch r="G44918"/>
    <cellWatch r="G44919"/>
    <cellWatch r="G44920"/>
    <cellWatch r="G44921"/>
    <cellWatch r="G44922"/>
    <cellWatch r="G44923"/>
    <cellWatch r="G44924"/>
    <cellWatch r="G44925"/>
    <cellWatch r="G44926"/>
    <cellWatch r="G44927"/>
    <cellWatch r="G44928"/>
    <cellWatch r="G44929"/>
    <cellWatch r="G44930"/>
    <cellWatch r="G44931"/>
    <cellWatch r="G44932"/>
    <cellWatch r="G44933"/>
    <cellWatch r="G44934"/>
    <cellWatch r="G44935"/>
    <cellWatch r="G44936"/>
    <cellWatch r="G44937"/>
    <cellWatch r="G44938"/>
    <cellWatch r="G44939"/>
    <cellWatch r="G44940"/>
    <cellWatch r="G44941"/>
    <cellWatch r="G44942"/>
    <cellWatch r="G44943"/>
    <cellWatch r="G44944"/>
    <cellWatch r="G44945"/>
    <cellWatch r="G44946"/>
    <cellWatch r="G44947"/>
    <cellWatch r="G44948"/>
    <cellWatch r="G44949"/>
    <cellWatch r="G44950"/>
    <cellWatch r="G44951"/>
    <cellWatch r="G44952"/>
    <cellWatch r="G44953"/>
    <cellWatch r="G44954"/>
    <cellWatch r="G44955"/>
    <cellWatch r="G44956"/>
    <cellWatch r="G44957"/>
    <cellWatch r="G44958"/>
    <cellWatch r="G44959"/>
    <cellWatch r="G44960"/>
    <cellWatch r="G44961"/>
    <cellWatch r="G44962"/>
    <cellWatch r="G44963"/>
    <cellWatch r="G44964"/>
    <cellWatch r="G44965"/>
    <cellWatch r="G44966"/>
    <cellWatch r="G44967"/>
    <cellWatch r="G44968"/>
    <cellWatch r="G44969"/>
    <cellWatch r="G44970"/>
    <cellWatch r="G44971"/>
    <cellWatch r="G44972"/>
    <cellWatch r="G44973"/>
    <cellWatch r="G44974"/>
    <cellWatch r="G44975"/>
    <cellWatch r="G44976"/>
    <cellWatch r="G44977"/>
    <cellWatch r="G44978"/>
    <cellWatch r="G44979"/>
    <cellWatch r="G44980"/>
    <cellWatch r="G44981"/>
    <cellWatch r="G44982"/>
    <cellWatch r="G44983"/>
    <cellWatch r="G44984"/>
    <cellWatch r="G44985"/>
    <cellWatch r="G44986"/>
    <cellWatch r="G44987"/>
    <cellWatch r="G44988"/>
    <cellWatch r="G44989"/>
    <cellWatch r="G44990"/>
    <cellWatch r="G44991"/>
    <cellWatch r="G44992"/>
    <cellWatch r="G44993"/>
    <cellWatch r="G44994"/>
    <cellWatch r="G44995"/>
    <cellWatch r="G44996"/>
    <cellWatch r="G44997"/>
    <cellWatch r="G44998"/>
    <cellWatch r="G44999"/>
    <cellWatch r="G45000"/>
    <cellWatch r="G45001"/>
    <cellWatch r="G45002"/>
    <cellWatch r="G45003"/>
    <cellWatch r="G45004"/>
    <cellWatch r="G45005"/>
    <cellWatch r="G45006"/>
    <cellWatch r="G45007"/>
    <cellWatch r="G45008"/>
    <cellWatch r="G45009"/>
    <cellWatch r="G45010"/>
    <cellWatch r="G45011"/>
    <cellWatch r="G45012"/>
    <cellWatch r="G45013"/>
    <cellWatch r="G45014"/>
    <cellWatch r="G45015"/>
    <cellWatch r="G45016"/>
    <cellWatch r="G45017"/>
    <cellWatch r="G45018"/>
    <cellWatch r="G45019"/>
    <cellWatch r="G45020"/>
    <cellWatch r="G45021"/>
    <cellWatch r="G45022"/>
    <cellWatch r="G45023"/>
    <cellWatch r="G45024"/>
    <cellWatch r="G45025"/>
    <cellWatch r="G45026"/>
    <cellWatch r="G45027"/>
    <cellWatch r="G45028"/>
    <cellWatch r="G45029"/>
    <cellWatch r="G45030"/>
    <cellWatch r="G45031"/>
    <cellWatch r="G45032"/>
    <cellWatch r="G45033"/>
    <cellWatch r="G45034"/>
    <cellWatch r="G45035"/>
    <cellWatch r="G45036"/>
    <cellWatch r="G45037"/>
    <cellWatch r="G45038"/>
    <cellWatch r="G45039"/>
    <cellWatch r="G45040"/>
    <cellWatch r="G45041"/>
    <cellWatch r="G45042"/>
    <cellWatch r="G45043"/>
    <cellWatch r="G45044"/>
    <cellWatch r="G45045"/>
    <cellWatch r="G45046"/>
    <cellWatch r="G45047"/>
    <cellWatch r="G45048"/>
    <cellWatch r="G45049"/>
    <cellWatch r="G45050"/>
    <cellWatch r="G45051"/>
    <cellWatch r="G45052"/>
    <cellWatch r="G45053"/>
    <cellWatch r="G45054"/>
    <cellWatch r="G45055"/>
    <cellWatch r="G45056"/>
    <cellWatch r="G45057"/>
    <cellWatch r="G45058"/>
    <cellWatch r="G45059"/>
    <cellWatch r="G45060"/>
    <cellWatch r="G45061"/>
    <cellWatch r="G45062"/>
    <cellWatch r="G45063"/>
    <cellWatch r="G45064"/>
    <cellWatch r="G45065"/>
    <cellWatch r="G45066"/>
    <cellWatch r="G45067"/>
    <cellWatch r="G45068"/>
    <cellWatch r="G45069"/>
    <cellWatch r="G45070"/>
    <cellWatch r="G45071"/>
    <cellWatch r="G45072"/>
    <cellWatch r="G45073"/>
    <cellWatch r="G45074"/>
    <cellWatch r="G45075"/>
    <cellWatch r="G45076"/>
    <cellWatch r="G45077"/>
    <cellWatch r="G45078"/>
    <cellWatch r="G45079"/>
    <cellWatch r="G45080"/>
    <cellWatch r="G45081"/>
    <cellWatch r="G45082"/>
    <cellWatch r="G45083"/>
    <cellWatch r="G45084"/>
    <cellWatch r="G45085"/>
    <cellWatch r="G45086"/>
    <cellWatch r="G45087"/>
    <cellWatch r="G45088"/>
    <cellWatch r="G45089"/>
    <cellWatch r="G45090"/>
    <cellWatch r="G45091"/>
    <cellWatch r="G45092"/>
    <cellWatch r="G45093"/>
    <cellWatch r="G45094"/>
    <cellWatch r="G45095"/>
    <cellWatch r="G45096"/>
    <cellWatch r="G45097"/>
    <cellWatch r="G45098"/>
    <cellWatch r="G45099"/>
    <cellWatch r="G45100"/>
    <cellWatch r="G45101"/>
    <cellWatch r="G45102"/>
    <cellWatch r="G45103"/>
    <cellWatch r="G45104"/>
    <cellWatch r="G45105"/>
    <cellWatch r="G45106"/>
    <cellWatch r="G45107"/>
    <cellWatch r="G45108"/>
    <cellWatch r="G45109"/>
    <cellWatch r="G45110"/>
    <cellWatch r="G45111"/>
    <cellWatch r="G45112"/>
    <cellWatch r="G45113"/>
    <cellWatch r="G45114"/>
    <cellWatch r="G45115"/>
    <cellWatch r="G45116"/>
    <cellWatch r="G45117"/>
    <cellWatch r="G45118"/>
    <cellWatch r="G45119"/>
    <cellWatch r="G45120"/>
    <cellWatch r="G45121"/>
    <cellWatch r="G45122"/>
    <cellWatch r="G45123"/>
    <cellWatch r="G45124"/>
    <cellWatch r="G45125"/>
    <cellWatch r="G45126"/>
    <cellWatch r="G45127"/>
    <cellWatch r="G45128"/>
    <cellWatch r="G45129"/>
    <cellWatch r="G45130"/>
    <cellWatch r="G45131"/>
    <cellWatch r="G45132"/>
    <cellWatch r="G45133"/>
    <cellWatch r="G45134"/>
    <cellWatch r="G45135"/>
    <cellWatch r="G45136"/>
    <cellWatch r="G45137"/>
    <cellWatch r="G45138"/>
    <cellWatch r="G45139"/>
    <cellWatch r="G45140"/>
    <cellWatch r="G45141"/>
    <cellWatch r="G45142"/>
    <cellWatch r="G45143"/>
    <cellWatch r="G45144"/>
    <cellWatch r="G45145"/>
    <cellWatch r="G45146"/>
    <cellWatch r="G45147"/>
    <cellWatch r="G45148"/>
    <cellWatch r="G45149"/>
    <cellWatch r="G45150"/>
    <cellWatch r="G45151"/>
    <cellWatch r="G45152"/>
    <cellWatch r="G45153"/>
    <cellWatch r="G45154"/>
    <cellWatch r="G45155"/>
    <cellWatch r="G45156"/>
    <cellWatch r="G45157"/>
    <cellWatch r="G45158"/>
    <cellWatch r="G45159"/>
    <cellWatch r="G45160"/>
    <cellWatch r="G45161"/>
    <cellWatch r="G45162"/>
    <cellWatch r="G45163"/>
    <cellWatch r="G45164"/>
    <cellWatch r="G45165"/>
    <cellWatch r="G45166"/>
    <cellWatch r="G45167"/>
    <cellWatch r="G45168"/>
    <cellWatch r="G45169"/>
    <cellWatch r="G45170"/>
    <cellWatch r="G45171"/>
    <cellWatch r="G45172"/>
    <cellWatch r="G45173"/>
    <cellWatch r="G45174"/>
    <cellWatch r="G45175"/>
    <cellWatch r="G45176"/>
    <cellWatch r="G45177"/>
    <cellWatch r="G45178"/>
    <cellWatch r="G45179"/>
    <cellWatch r="G45180"/>
    <cellWatch r="G45181"/>
    <cellWatch r="G45182"/>
    <cellWatch r="G45183"/>
    <cellWatch r="G45184"/>
    <cellWatch r="G45185"/>
    <cellWatch r="G45186"/>
    <cellWatch r="G45187"/>
    <cellWatch r="G45188"/>
    <cellWatch r="G45189"/>
    <cellWatch r="G45190"/>
    <cellWatch r="G45191"/>
    <cellWatch r="G45192"/>
    <cellWatch r="G45193"/>
    <cellWatch r="G45194"/>
    <cellWatch r="G45195"/>
    <cellWatch r="G45196"/>
    <cellWatch r="G45197"/>
    <cellWatch r="G45198"/>
    <cellWatch r="G45199"/>
    <cellWatch r="G45200"/>
    <cellWatch r="G45201"/>
    <cellWatch r="G45202"/>
    <cellWatch r="G45203"/>
    <cellWatch r="G45204"/>
    <cellWatch r="G45205"/>
    <cellWatch r="G45206"/>
    <cellWatch r="G45207"/>
    <cellWatch r="G45208"/>
    <cellWatch r="G45209"/>
    <cellWatch r="G45210"/>
    <cellWatch r="G45211"/>
    <cellWatch r="G45212"/>
    <cellWatch r="G45213"/>
    <cellWatch r="G45214"/>
    <cellWatch r="G45215"/>
    <cellWatch r="G45216"/>
    <cellWatch r="G45217"/>
    <cellWatch r="G45218"/>
    <cellWatch r="G45219"/>
    <cellWatch r="G45220"/>
    <cellWatch r="G45221"/>
    <cellWatch r="G45222"/>
    <cellWatch r="G45223"/>
    <cellWatch r="G45224"/>
    <cellWatch r="G45225"/>
    <cellWatch r="G45226"/>
    <cellWatch r="G45227"/>
    <cellWatch r="G45228"/>
    <cellWatch r="G45229"/>
    <cellWatch r="G45230"/>
    <cellWatch r="G45231"/>
    <cellWatch r="G45232"/>
    <cellWatch r="G45233"/>
    <cellWatch r="G45234"/>
    <cellWatch r="G45235"/>
    <cellWatch r="G45236"/>
    <cellWatch r="G45237"/>
    <cellWatch r="G45238"/>
    <cellWatch r="G45239"/>
    <cellWatch r="G45240"/>
    <cellWatch r="G45241"/>
    <cellWatch r="G45242"/>
    <cellWatch r="G45243"/>
    <cellWatch r="G45244"/>
    <cellWatch r="G45245"/>
    <cellWatch r="G45246"/>
    <cellWatch r="G45247"/>
    <cellWatch r="G45248"/>
    <cellWatch r="G45249"/>
    <cellWatch r="G45250"/>
    <cellWatch r="G45251"/>
    <cellWatch r="G45252"/>
    <cellWatch r="G45253"/>
    <cellWatch r="G45254"/>
    <cellWatch r="G45255"/>
    <cellWatch r="G45256"/>
    <cellWatch r="G45257"/>
    <cellWatch r="G45258"/>
    <cellWatch r="G45259"/>
    <cellWatch r="G45260"/>
    <cellWatch r="G45261"/>
    <cellWatch r="G45262"/>
    <cellWatch r="G45263"/>
    <cellWatch r="G45264"/>
    <cellWatch r="G45265"/>
    <cellWatch r="G45266"/>
    <cellWatch r="G45267"/>
    <cellWatch r="G45268"/>
    <cellWatch r="G45269"/>
    <cellWatch r="G45270"/>
    <cellWatch r="G45271"/>
    <cellWatch r="G45272"/>
    <cellWatch r="G45273"/>
    <cellWatch r="G45274"/>
    <cellWatch r="G45275"/>
    <cellWatch r="G45276"/>
    <cellWatch r="G45277"/>
    <cellWatch r="G45278"/>
    <cellWatch r="G45279"/>
    <cellWatch r="G45280"/>
    <cellWatch r="G45281"/>
    <cellWatch r="G45282"/>
    <cellWatch r="G45283"/>
    <cellWatch r="G45284"/>
    <cellWatch r="G45285"/>
    <cellWatch r="G45286"/>
    <cellWatch r="G45287"/>
    <cellWatch r="G45288"/>
    <cellWatch r="G45289"/>
    <cellWatch r="G45290"/>
    <cellWatch r="G45291"/>
    <cellWatch r="G45292"/>
    <cellWatch r="G45293"/>
    <cellWatch r="G45294"/>
    <cellWatch r="G45295"/>
    <cellWatch r="G45296"/>
    <cellWatch r="G45297"/>
    <cellWatch r="G45298"/>
    <cellWatch r="G45299"/>
    <cellWatch r="G45300"/>
    <cellWatch r="G45301"/>
    <cellWatch r="G45302"/>
    <cellWatch r="G45303"/>
    <cellWatch r="G45304"/>
    <cellWatch r="G45305"/>
    <cellWatch r="G45306"/>
    <cellWatch r="G45307"/>
    <cellWatch r="G45308"/>
    <cellWatch r="G45309"/>
    <cellWatch r="G45310"/>
    <cellWatch r="G45311"/>
    <cellWatch r="G45312"/>
    <cellWatch r="G45313"/>
    <cellWatch r="G45314"/>
    <cellWatch r="G45315"/>
    <cellWatch r="G45316"/>
    <cellWatch r="G45317"/>
    <cellWatch r="G45318"/>
    <cellWatch r="G45319"/>
    <cellWatch r="G45320"/>
    <cellWatch r="G45321"/>
    <cellWatch r="G45322"/>
    <cellWatch r="G45323"/>
    <cellWatch r="G45324"/>
    <cellWatch r="G45325"/>
    <cellWatch r="G45326"/>
    <cellWatch r="G45327"/>
    <cellWatch r="G45328"/>
    <cellWatch r="G45329"/>
    <cellWatch r="G45330"/>
    <cellWatch r="G45331"/>
    <cellWatch r="G45332"/>
    <cellWatch r="G45333"/>
    <cellWatch r="G45334"/>
    <cellWatch r="G45335"/>
    <cellWatch r="G45336"/>
    <cellWatch r="G45337"/>
    <cellWatch r="G45338"/>
    <cellWatch r="G45339"/>
    <cellWatch r="G45340"/>
    <cellWatch r="G45341"/>
    <cellWatch r="G45342"/>
    <cellWatch r="G45343"/>
    <cellWatch r="G45344"/>
    <cellWatch r="G45345"/>
    <cellWatch r="G45346"/>
    <cellWatch r="G45347"/>
    <cellWatch r="G45348"/>
    <cellWatch r="G45349"/>
    <cellWatch r="G45350"/>
    <cellWatch r="G45351"/>
    <cellWatch r="G45352"/>
    <cellWatch r="G45353"/>
    <cellWatch r="G45354"/>
    <cellWatch r="G45355"/>
    <cellWatch r="G45356"/>
    <cellWatch r="G45357"/>
    <cellWatch r="G45358"/>
    <cellWatch r="G45359"/>
    <cellWatch r="G45360"/>
    <cellWatch r="G45361"/>
    <cellWatch r="G45362"/>
    <cellWatch r="G45363"/>
    <cellWatch r="G45364"/>
    <cellWatch r="G45365"/>
    <cellWatch r="G45366"/>
    <cellWatch r="G45367"/>
    <cellWatch r="G45368"/>
    <cellWatch r="G45369"/>
    <cellWatch r="G45370"/>
    <cellWatch r="G45371"/>
    <cellWatch r="G45372"/>
    <cellWatch r="G45373"/>
    <cellWatch r="G45374"/>
    <cellWatch r="G45375"/>
    <cellWatch r="G45376"/>
    <cellWatch r="G45377"/>
    <cellWatch r="G45378"/>
    <cellWatch r="G45379"/>
    <cellWatch r="G45380"/>
    <cellWatch r="G45381"/>
    <cellWatch r="G45382"/>
    <cellWatch r="G45383"/>
    <cellWatch r="G45384"/>
    <cellWatch r="G45385"/>
    <cellWatch r="G45386"/>
    <cellWatch r="G45387"/>
    <cellWatch r="G45388"/>
    <cellWatch r="G45389"/>
    <cellWatch r="G45390"/>
    <cellWatch r="G45391"/>
    <cellWatch r="G45392"/>
    <cellWatch r="G45393"/>
    <cellWatch r="G45394"/>
    <cellWatch r="G45395"/>
    <cellWatch r="G45396"/>
    <cellWatch r="G45397"/>
    <cellWatch r="G45398"/>
    <cellWatch r="G45399"/>
    <cellWatch r="G45400"/>
    <cellWatch r="G45401"/>
    <cellWatch r="G45402"/>
    <cellWatch r="G45403"/>
    <cellWatch r="G45404"/>
    <cellWatch r="G45405"/>
    <cellWatch r="G45406"/>
    <cellWatch r="G45407"/>
    <cellWatch r="G45408"/>
    <cellWatch r="G45409"/>
    <cellWatch r="G45410"/>
    <cellWatch r="G45411"/>
    <cellWatch r="G45412"/>
    <cellWatch r="G45413"/>
    <cellWatch r="G45414"/>
    <cellWatch r="G45415"/>
    <cellWatch r="G45416"/>
    <cellWatch r="G45417"/>
    <cellWatch r="G45418"/>
    <cellWatch r="G45419"/>
    <cellWatch r="G45420"/>
    <cellWatch r="G45421"/>
    <cellWatch r="G45422"/>
    <cellWatch r="G45423"/>
    <cellWatch r="G45424"/>
    <cellWatch r="G45425"/>
    <cellWatch r="G45426"/>
    <cellWatch r="G45427"/>
    <cellWatch r="G45428"/>
    <cellWatch r="G45429"/>
    <cellWatch r="G45430"/>
    <cellWatch r="G45431"/>
    <cellWatch r="G45432"/>
    <cellWatch r="G45433"/>
    <cellWatch r="G45434"/>
    <cellWatch r="G45435"/>
    <cellWatch r="G45436"/>
    <cellWatch r="G45437"/>
    <cellWatch r="G45438"/>
    <cellWatch r="G45439"/>
    <cellWatch r="G45440"/>
    <cellWatch r="G45441"/>
    <cellWatch r="G45442"/>
    <cellWatch r="G45443"/>
    <cellWatch r="G45444"/>
    <cellWatch r="G45445"/>
    <cellWatch r="G45446"/>
    <cellWatch r="G45447"/>
    <cellWatch r="G45448"/>
    <cellWatch r="G45449"/>
    <cellWatch r="G45450"/>
    <cellWatch r="G45451"/>
    <cellWatch r="G45452"/>
    <cellWatch r="G45453"/>
    <cellWatch r="G45454"/>
    <cellWatch r="G45455"/>
    <cellWatch r="G45456"/>
    <cellWatch r="G45457"/>
    <cellWatch r="G45458"/>
    <cellWatch r="G45459"/>
    <cellWatch r="G45460"/>
    <cellWatch r="G45461"/>
    <cellWatch r="G45462"/>
    <cellWatch r="G45463"/>
    <cellWatch r="G45464"/>
    <cellWatch r="G45465"/>
    <cellWatch r="G45466"/>
    <cellWatch r="G45467"/>
    <cellWatch r="G45468"/>
    <cellWatch r="G45469"/>
    <cellWatch r="G45470"/>
    <cellWatch r="G45471"/>
    <cellWatch r="G45472"/>
    <cellWatch r="G45473"/>
    <cellWatch r="G45474"/>
    <cellWatch r="G45475"/>
    <cellWatch r="G45476"/>
    <cellWatch r="G45477"/>
    <cellWatch r="G45478"/>
    <cellWatch r="G45479"/>
    <cellWatch r="G45480"/>
    <cellWatch r="G45481"/>
    <cellWatch r="G45482"/>
    <cellWatch r="G45483"/>
    <cellWatch r="G45484"/>
    <cellWatch r="G45485"/>
    <cellWatch r="G45486"/>
    <cellWatch r="G45487"/>
    <cellWatch r="G45488"/>
    <cellWatch r="G45489"/>
    <cellWatch r="G45490"/>
    <cellWatch r="G45491"/>
    <cellWatch r="G45492"/>
    <cellWatch r="G45493"/>
    <cellWatch r="G45494"/>
    <cellWatch r="G45495"/>
    <cellWatch r="G45496"/>
    <cellWatch r="G45497"/>
    <cellWatch r="G45498"/>
    <cellWatch r="G45499"/>
    <cellWatch r="G45500"/>
    <cellWatch r="G45501"/>
    <cellWatch r="G45502"/>
    <cellWatch r="G45503"/>
    <cellWatch r="G45504"/>
    <cellWatch r="G45505"/>
    <cellWatch r="G45506"/>
    <cellWatch r="G45507"/>
    <cellWatch r="G45508"/>
    <cellWatch r="G45509"/>
    <cellWatch r="G45510"/>
    <cellWatch r="G45511"/>
    <cellWatch r="G45512"/>
    <cellWatch r="G45513"/>
    <cellWatch r="G45514"/>
    <cellWatch r="G45515"/>
    <cellWatch r="G45516"/>
    <cellWatch r="G45517"/>
    <cellWatch r="G45518"/>
    <cellWatch r="G45519"/>
    <cellWatch r="G45520"/>
    <cellWatch r="G45521"/>
    <cellWatch r="G45522"/>
    <cellWatch r="G45523"/>
    <cellWatch r="G45524"/>
    <cellWatch r="G45525"/>
    <cellWatch r="G45526"/>
    <cellWatch r="G45527"/>
    <cellWatch r="G45528"/>
    <cellWatch r="G45529"/>
    <cellWatch r="G45530"/>
    <cellWatch r="G45531"/>
    <cellWatch r="G45532"/>
    <cellWatch r="G45533"/>
    <cellWatch r="G45534"/>
    <cellWatch r="G45535"/>
    <cellWatch r="G45536"/>
    <cellWatch r="G45537"/>
    <cellWatch r="G45538"/>
    <cellWatch r="G45539"/>
    <cellWatch r="G45540"/>
    <cellWatch r="G45541"/>
    <cellWatch r="G45542"/>
    <cellWatch r="G45543"/>
    <cellWatch r="G45544"/>
    <cellWatch r="G45545"/>
    <cellWatch r="G45546"/>
    <cellWatch r="G45547"/>
    <cellWatch r="G45548"/>
    <cellWatch r="G45549"/>
    <cellWatch r="G45550"/>
    <cellWatch r="G45551"/>
    <cellWatch r="G45552"/>
    <cellWatch r="G45553"/>
    <cellWatch r="G45554"/>
    <cellWatch r="G45555"/>
    <cellWatch r="G45556"/>
    <cellWatch r="G45557"/>
    <cellWatch r="G45558"/>
    <cellWatch r="G45559"/>
    <cellWatch r="G45560"/>
    <cellWatch r="G45561"/>
    <cellWatch r="G45562"/>
    <cellWatch r="G45563"/>
    <cellWatch r="G45564"/>
    <cellWatch r="G45565"/>
    <cellWatch r="G45566"/>
    <cellWatch r="G45567"/>
    <cellWatch r="G45568"/>
    <cellWatch r="G45569"/>
    <cellWatch r="G45570"/>
    <cellWatch r="G45571"/>
    <cellWatch r="G45572"/>
    <cellWatch r="G45573"/>
    <cellWatch r="G45574"/>
    <cellWatch r="G45575"/>
    <cellWatch r="G45576"/>
    <cellWatch r="G45577"/>
    <cellWatch r="G45578"/>
    <cellWatch r="G45579"/>
    <cellWatch r="G45580"/>
    <cellWatch r="G45581"/>
    <cellWatch r="G45582"/>
    <cellWatch r="G45583"/>
    <cellWatch r="G45584"/>
    <cellWatch r="G45585"/>
    <cellWatch r="G45586"/>
    <cellWatch r="G45587"/>
    <cellWatch r="G45588"/>
    <cellWatch r="G45589"/>
    <cellWatch r="G45590"/>
    <cellWatch r="G45591"/>
    <cellWatch r="G45592"/>
    <cellWatch r="G45593"/>
    <cellWatch r="G45594"/>
    <cellWatch r="G45595"/>
    <cellWatch r="G45596"/>
    <cellWatch r="G45597"/>
    <cellWatch r="G45598"/>
    <cellWatch r="G45599"/>
    <cellWatch r="G45600"/>
    <cellWatch r="G45601"/>
    <cellWatch r="G45602"/>
    <cellWatch r="G45603"/>
    <cellWatch r="G45604"/>
    <cellWatch r="G45605"/>
    <cellWatch r="G45606"/>
    <cellWatch r="G45607"/>
    <cellWatch r="G45608"/>
    <cellWatch r="G45609"/>
    <cellWatch r="G45610"/>
    <cellWatch r="G45611"/>
    <cellWatch r="G45612"/>
    <cellWatch r="G45613"/>
    <cellWatch r="G45614"/>
    <cellWatch r="G45615"/>
    <cellWatch r="G45616"/>
    <cellWatch r="G45617"/>
    <cellWatch r="G45618"/>
    <cellWatch r="G45619"/>
    <cellWatch r="G45620"/>
    <cellWatch r="G45621"/>
    <cellWatch r="G45622"/>
    <cellWatch r="G45623"/>
    <cellWatch r="G45624"/>
    <cellWatch r="G45625"/>
    <cellWatch r="G45626"/>
    <cellWatch r="G45627"/>
    <cellWatch r="G45628"/>
    <cellWatch r="G45629"/>
    <cellWatch r="G45630"/>
    <cellWatch r="G45631"/>
    <cellWatch r="G45632"/>
    <cellWatch r="G45633"/>
    <cellWatch r="G45634"/>
    <cellWatch r="G45635"/>
    <cellWatch r="G45636"/>
    <cellWatch r="G45637"/>
    <cellWatch r="G45638"/>
    <cellWatch r="G45639"/>
    <cellWatch r="G45640"/>
    <cellWatch r="G45641"/>
    <cellWatch r="G45642"/>
    <cellWatch r="G45643"/>
    <cellWatch r="G45644"/>
    <cellWatch r="G45645"/>
    <cellWatch r="G45646"/>
    <cellWatch r="G45647"/>
    <cellWatch r="G45648"/>
    <cellWatch r="G45649"/>
    <cellWatch r="G45650"/>
    <cellWatch r="G45651"/>
    <cellWatch r="G45652"/>
    <cellWatch r="G45653"/>
    <cellWatch r="G45654"/>
    <cellWatch r="G45655"/>
    <cellWatch r="G45656"/>
    <cellWatch r="G45657"/>
    <cellWatch r="G45658"/>
    <cellWatch r="G45659"/>
    <cellWatch r="G45660"/>
    <cellWatch r="G45661"/>
    <cellWatch r="G45662"/>
    <cellWatch r="G45663"/>
    <cellWatch r="G45664"/>
    <cellWatch r="G45665"/>
    <cellWatch r="G45666"/>
    <cellWatch r="G45667"/>
    <cellWatch r="G45668"/>
    <cellWatch r="G45669"/>
    <cellWatch r="G45670"/>
    <cellWatch r="G45671"/>
    <cellWatch r="G45672"/>
    <cellWatch r="G45673"/>
    <cellWatch r="G45674"/>
    <cellWatch r="G45675"/>
    <cellWatch r="G45676"/>
    <cellWatch r="G45677"/>
    <cellWatch r="G45678"/>
    <cellWatch r="G45679"/>
    <cellWatch r="G45680"/>
    <cellWatch r="G45681"/>
    <cellWatch r="G45682"/>
    <cellWatch r="G45683"/>
    <cellWatch r="G45684"/>
    <cellWatch r="G45685"/>
    <cellWatch r="G45686"/>
    <cellWatch r="G45687"/>
    <cellWatch r="G45688"/>
    <cellWatch r="G45689"/>
    <cellWatch r="G45690"/>
    <cellWatch r="G45691"/>
    <cellWatch r="G45692"/>
    <cellWatch r="G45693"/>
    <cellWatch r="G45694"/>
    <cellWatch r="G45695"/>
    <cellWatch r="G45696"/>
    <cellWatch r="G45697"/>
    <cellWatch r="G45698"/>
    <cellWatch r="G45699"/>
    <cellWatch r="G45700"/>
    <cellWatch r="G45701"/>
    <cellWatch r="G45702"/>
    <cellWatch r="G45703"/>
    <cellWatch r="G45704"/>
    <cellWatch r="G45705"/>
    <cellWatch r="G45706"/>
    <cellWatch r="G45707"/>
    <cellWatch r="G45708"/>
    <cellWatch r="G45709"/>
    <cellWatch r="G45710"/>
    <cellWatch r="G45711"/>
    <cellWatch r="G45712"/>
    <cellWatch r="G45713"/>
    <cellWatch r="G45714"/>
    <cellWatch r="G45715"/>
    <cellWatch r="G45716"/>
    <cellWatch r="G45717"/>
    <cellWatch r="G45718"/>
    <cellWatch r="G45719"/>
    <cellWatch r="G45720"/>
    <cellWatch r="G45721"/>
    <cellWatch r="G45722"/>
    <cellWatch r="G45723"/>
    <cellWatch r="G45724"/>
    <cellWatch r="G45725"/>
    <cellWatch r="G45726"/>
    <cellWatch r="G45727"/>
    <cellWatch r="G45728"/>
    <cellWatch r="G45729"/>
    <cellWatch r="G45730"/>
    <cellWatch r="G45731"/>
    <cellWatch r="G45732"/>
    <cellWatch r="G45733"/>
    <cellWatch r="G45734"/>
    <cellWatch r="G45735"/>
    <cellWatch r="G45736"/>
    <cellWatch r="G45737"/>
    <cellWatch r="G45738"/>
    <cellWatch r="G45739"/>
    <cellWatch r="G45740"/>
    <cellWatch r="G45741"/>
    <cellWatch r="G45742"/>
    <cellWatch r="G45743"/>
    <cellWatch r="G45744"/>
    <cellWatch r="G45745"/>
    <cellWatch r="G45746"/>
    <cellWatch r="G45747"/>
    <cellWatch r="G45748"/>
    <cellWatch r="G45749"/>
    <cellWatch r="G45750"/>
    <cellWatch r="G45751"/>
    <cellWatch r="G45752"/>
    <cellWatch r="G45753"/>
    <cellWatch r="G45754"/>
    <cellWatch r="G45755"/>
    <cellWatch r="G45756"/>
    <cellWatch r="G45757"/>
    <cellWatch r="G45758"/>
    <cellWatch r="G45759"/>
    <cellWatch r="G45760"/>
    <cellWatch r="G45761"/>
    <cellWatch r="G45762"/>
    <cellWatch r="G45763"/>
    <cellWatch r="G45764"/>
    <cellWatch r="G45765"/>
    <cellWatch r="G45766"/>
    <cellWatch r="G45767"/>
    <cellWatch r="G45768"/>
    <cellWatch r="G45769"/>
    <cellWatch r="G45770"/>
    <cellWatch r="G45771"/>
    <cellWatch r="G45772"/>
    <cellWatch r="G45773"/>
    <cellWatch r="G45774"/>
    <cellWatch r="G45775"/>
    <cellWatch r="G45776"/>
    <cellWatch r="G45777"/>
    <cellWatch r="G45778"/>
    <cellWatch r="G45779"/>
    <cellWatch r="G45780"/>
    <cellWatch r="G45781"/>
    <cellWatch r="G45782"/>
    <cellWatch r="G45783"/>
    <cellWatch r="G45784"/>
    <cellWatch r="G45785"/>
    <cellWatch r="G45786"/>
    <cellWatch r="G45787"/>
    <cellWatch r="G45788"/>
    <cellWatch r="G45789"/>
    <cellWatch r="G45790"/>
    <cellWatch r="G45791"/>
    <cellWatch r="G45792"/>
    <cellWatch r="G45793"/>
    <cellWatch r="G45794"/>
    <cellWatch r="G45795"/>
    <cellWatch r="G45796"/>
    <cellWatch r="G45797"/>
    <cellWatch r="G45798"/>
    <cellWatch r="G45799"/>
    <cellWatch r="G45800"/>
    <cellWatch r="G45801"/>
    <cellWatch r="G45802"/>
    <cellWatch r="G45803"/>
    <cellWatch r="G45804"/>
    <cellWatch r="G45805"/>
    <cellWatch r="G45806"/>
    <cellWatch r="G45807"/>
    <cellWatch r="G45808"/>
    <cellWatch r="G45809"/>
    <cellWatch r="G45810"/>
    <cellWatch r="G45811"/>
    <cellWatch r="G45812"/>
    <cellWatch r="G45813"/>
    <cellWatch r="G45814"/>
    <cellWatch r="G45815"/>
    <cellWatch r="G45816"/>
    <cellWatch r="G45817"/>
    <cellWatch r="G45818"/>
    <cellWatch r="G45819"/>
    <cellWatch r="G45820"/>
    <cellWatch r="G45821"/>
    <cellWatch r="G45822"/>
    <cellWatch r="G45823"/>
    <cellWatch r="G45824"/>
    <cellWatch r="G45825"/>
    <cellWatch r="G45826"/>
    <cellWatch r="G45827"/>
    <cellWatch r="G45828"/>
    <cellWatch r="G45829"/>
    <cellWatch r="G45830"/>
    <cellWatch r="G45831"/>
    <cellWatch r="G45832"/>
    <cellWatch r="G45833"/>
    <cellWatch r="G45834"/>
    <cellWatch r="G45835"/>
    <cellWatch r="G45836"/>
    <cellWatch r="G45837"/>
    <cellWatch r="G45838"/>
    <cellWatch r="G45839"/>
    <cellWatch r="G45840"/>
    <cellWatch r="G45841"/>
    <cellWatch r="G45842"/>
    <cellWatch r="G45843"/>
    <cellWatch r="G45844"/>
    <cellWatch r="G45845"/>
    <cellWatch r="G45846"/>
    <cellWatch r="G45847"/>
    <cellWatch r="G45848"/>
    <cellWatch r="G45849"/>
    <cellWatch r="G45850"/>
    <cellWatch r="G45851"/>
    <cellWatch r="G45852"/>
    <cellWatch r="G45853"/>
    <cellWatch r="G45854"/>
    <cellWatch r="G45855"/>
    <cellWatch r="G45856"/>
    <cellWatch r="G45857"/>
    <cellWatch r="G45858"/>
    <cellWatch r="G45859"/>
    <cellWatch r="G45860"/>
    <cellWatch r="G45861"/>
    <cellWatch r="G45862"/>
    <cellWatch r="G45863"/>
    <cellWatch r="G45864"/>
    <cellWatch r="G45865"/>
    <cellWatch r="G45866"/>
    <cellWatch r="G45867"/>
    <cellWatch r="G45868"/>
    <cellWatch r="G45869"/>
    <cellWatch r="G45870"/>
    <cellWatch r="G45871"/>
    <cellWatch r="G45872"/>
    <cellWatch r="G45873"/>
    <cellWatch r="G45874"/>
    <cellWatch r="G45875"/>
    <cellWatch r="G45876"/>
    <cellWatch r="G45877"/>
    <cellWatch r="G45878"/>
    <cellWatch r="G45879"/>
    <cellWatch r="G45880"/>
    <cellWatch r="G45881"/>
    <cellWatch r="G45882"/>
    <cellWatch r="G45883"/>
    <cellWatch r="G45884"/>
    <cellWatch r="G45885"/>
    <cellWatch r="G45886"/>
    <cellWatch r="G45887"/>
    <cellWatch r="G45888"/>
    <cellWatch r="G45889"/>
    <cellWatch r="G45890"/>
    <cellWatch r="G45891"/>
    <cellWatch r="G45892"/>
    <cellWatch r="G45893"/>
    <cellWatch r="G45894"/>
    <cellWatch r="G45895"/>
    <cellWatch r="G45896"/>
    <cellWatch r="G45897"/>
    <cellWatch r="G45898"/>
    <cellWatch r="G45899"/>
    <cellWatch r="G45900"/>
    <cellWatch r="G45901"/>
    <cellWatch r="G45902"/>
    <cellWatch r="G45903"/>
    <cellWatch r="G45904"/>
    <cellWatch r="G45905"/>
    <cellWatch r="G45906"/>
    <cellWatch r="G45907"/>
    <cellWatch r="G45908"/>
    <cellWatch r="G45909"/>
    <cellWatch r="G45910"/>
    <cellWatch r="G45911"/>
    <cellWatch r="G45912"/>
    <cellWatch r="G45913"/>
    <cellWatch r="G45914"/>
    <cellWatch r="G45915"/>
    <cellWatch r="G45916"/>
    <cellWatch r="G45917"/>
    <cellWatch r="G45918"/>
    <cellWatch r="G45919"/>
    <cellWatch r="G45920"/>
    <cellWatch r="G45921"/>
    <cellWatch r="G45922"/>
    <cellWatch r="G45923"/>
    <cellWatch r="G45924"/>
    <cellWatch r="G45925"/>
    <cellWatch r="G45926"/>
    <cellWatch r="G45927"/>
    <cellWatch r="G45928"/>
    <cellWatch r="G45929"/>
    <cellWatch r="G45930"/>
    <cellWatch r="G45931"/>
    <cellWatch r="G45932"/>
    <cellWatch r="G45933"/>
    <cellWatch r="G45934"/>
    <cellWatch r="G45935"/>
    <cellWatch r="G45936"/>
    <cellWatch r="G45937"/>
    <cellWatch r="G45938"/>
    <cellWatch r="G45939"/>
    <cellWatch r="G45940"/>
    <cellWatch r="G45941"/>
    <cellWatch r="G45942"/>
    <cellWatch r="G45943"/>
    <cellWatch r="G45944"/>
    <cellWatch r="G45945"/>
    <cellWatch r="G45946"/>
    <cellWatch r="G45947"/>
    <cellWatch r="G45948"/>
    <cellWatch r="G45949"/>
    <cellWatch r="G45950"/>
    <cellWatch r="G45951"/>
    <cellWatch r="G45952"/>
    <cellWatch r="G45953"/>
    <cellWatch r="G45954"/>
    <cellWatch r="G45955"/>
    <cellWatch r="G45956"/>
    <cellWatch r="G45957"/>
    <cellWatch r="G45958"/>
    <cellWatch r="G45959"/>
    <cellWatch r="G45960"/>
    <cellWatch r="G45961"/>
    <cellWatch r="G45962"/>
    <cellWatch r="G45963"/>
    <cellWatch r="G45964"/>
    <cellWatch r="G45965"/>
    <cellWatch r="G45966"/>
    <cellWatch r="G45967"/>
    <cellWatch r="G45968"/>
    <cellWatch r="G45969"/>
    <cellWatch r="G45970"/>
    <cellWatch r="G45971"/>
    <cellWatch r="G45972"/>
    <cellWatch r="G45973"/>
    <cellWatch r="G45974"/>
    <cellWatch r="G45975"/>
    <cellWatch r="G45976"/>
    <cellWatch r="G45977"/>
    <cellWatch r="G45978"/>
    <cellWatch r="G45979"/>
    <cellWatch r="G45980"/>
    <cellWatch r="G45981"/>
    <cellWatch r="G45982"/>
    <cellWatch r="G45983"/>
    <cellWatch r="G45984"/>
    <cellWatch r="G45985"/>
    <cellWatch r="G45986"/>
    <cellWatch r="G45987"/>
    <cellWatch r="G45988"/>
    <cellWatch r="G45989"/>
    <cellWatch r="G45990"/>
    <cellWatch r="G45991"/>
    <cellWatch r="G45992"/>
    <cellWatch r="G45993"/>
    <cellWatch r="G45994"/>
    <cellWatch r="G45995"/>
    <cellWatch r="G45996"/>
    <cellWatch r="G45997"/>
    <cellWatch r="G45998"/>
    <cellWatch r="G45999"/>
    <cellWatch r="G46000"/>
    <cellWatch r="G46001"/>
    <cellWatch r="G46002"/>
    <cellWatch r="G46003"/>
    <cellWatch r="G46004"/>
    <cellWatch r="G46005"/>
    <cellWatch r="G46006"/>
    <cellWatch r="G46007"/>
    <cellWatch r="G46008"/>
    <cellWatch r="G46009"/>
    <cellWatch r="G46010"/>
    <cellWatch r="G46011"/>
    <cellWatch r="G46012"/>
    <cellWatch r="G46013"/>
    <cellWatch r="G46014"/>
    <cellWatch r="G46015"/>
    <cellWatch r="G46016"/>
    <cellWatch r="G46017"/>
    <cellWatch r="G46018"/>
    <cellWatch r="G46019"/>
    <cellWatch r="G46020"/>
    <cellWatch r="G46021"/>
    <cellWatch r="G46022"/>
    <cellWatch r="G46023"/>
    <cellWatch r="G46024"/>
    <cellWatch r="G46025"/>
    <cellWatch r="G46026"/>
    <cellWatch r="G46027"/>
    <cellWatch r="G46028"/>
    <cellWatch r="G46029"/>
    <cellWatch r="G46030"/>
    <cellWatch r="G46031"/>
    <cellWatch r="G46032"/>
    <cellWatch r="G46033"/>
    <cellWatch r="G46034"/>
    <cellWatch r="G46035"/>
    <cellWatch r="G46036"/>
    <cellWatch r="G46037"/>
    <cellWatch r="G46038"/>
    <cellWatch r="G46039"/>
    <cellWatch r="G46040"/>
    <cellWatch r="G46041"/>
    <cellWatch r="G46042"/>
    <cellWatch r="G46043"/>
    <cellWatch r="G46044"/>
    <cellWatch r="G46045"/>
    <cellWatch r="G46046"/>
    <cellWatch r="G46047"/>
    <cellWatch r="G46048"/>
    <cellWatch r="G46049"/>
    <cellWatch r="G46050"/>
    <cellWatch r="G46051"/>
    <cellWatch r="G46052"/>
    <cellWatch r="G46053"/>
    <cellWatch r="G46054"/>
    <cellWatch r="G46055"/>
    <cellWatch r="G46056"/>
    <cellWatch r="G46057"/>
    <cellWatch r="G46058"/>
    <cellWatch r="G46059"/>
    <cellWatch r="G46060"/>
    <cellWatch r="G46061"/>
    <cellWatch r="G46062"/>
    <cellWatch r="G46063"/>
    <cellWatch r="G46064"/>
    <cellWatch r="G46065"/>
    <cellWatch r="G46066"/>
    <cellWatch r="G46067"/>
    <cellWatch r="G46068"/>
    <cellWatch r="G46069"/>
    <cellWatch r="G46070"/>
    <cellWatch r="G46071"/>
    <cellWatch r="G46072"/>
    <cellWatch r="G46073"/>
    <cellWatch r="G46074"/>
    <cellWatch r="G46075"/>
    <cellWatch r="G46076"/>
    <cellWatch r="G46077"/>
    <cellWatch r="G46078"/>
    <cellWatch r="G46079"/>
    <cellWatch r="G46080"/>
    <cellWatch r="G46081"/>
    <cellWatch r="G46082"/>
    <cellWatch r="G46083"/>
    <cellWatch r="G46084"/>
    <cellWatch r="G46085"/>
    <cellWatch r="G46086"/>
    <cellWatch r="G46087"/>
    <cellWatch r="G46088"/>
    <cellWatch r="G46089"/>
    <cellWatch r="G46090"/>
    <cellWatch r="G46091"/>
    <cellWatch r="G46092"/>
    <cellWatch r="G46093"/>
    <cellWatch r="G46094"/>
    <cellWatch r="G46095"/>
    <cellWatch r="G46096"/>
    <cellWatch r="G46097"/>
    <cellWatch r="G46098"/>
    <cellWatch r="G46099"/>
    <cellWatch r="G46100"/>
    <cellWatch r="G46101"/>
    <cellWatch r="G46102"/>
    <cellWatch r="G46103"/>
    <cellWatch r="G46104"/>
    <cellWatch r="G46105"/>
    <cellWatch r="G46106"/>
    <cellWatch r="G46107"/>
    <cellWatch r="G46108"/>
    <cellWatch r="G46109"/>
    <cellWatch r="G46110"/>
    <cellWatch r="G46111"/>
    <cellWatch r="G46112"/>
    <cellWatch r="G46113"/>
    <cellWatch r="G46114"/>
    <cellWatch r="G46115"/>
    <cellWatch r="G46116"/>
    <cellWatch r="G46117"/>
    <cellWatch r="G46118"/>
    <cellWatch r="G46119"/>
    <cellWatch r="G46120"/>
    <cellWatch r="G46121"/>
    <cellWatch r="G46122"/>
    <cellWatch r="G46123"/>
    <cellWatch r="G46124"/>
    <cellWatch r="G46125"/>
    <cellWatch r="G46126"/>
    <cellWatch r="G46127"/>
    <cellWatch r="G46128"/>
    <cellWatch r="G46129"/>
    <cellWatch r="G46130"/>
    <cellWatch r="G46131"/>
    <cellWatch r="G46132"/>
    <cellWatch r="G46133"/>
    <cellWatch r="G46134"/>
    <cellWatch r="G46135"/>
    <cellWatch r="G46136"/>
    <cellWatch r="G46137"/>
    <cellWatch r="G46138"/>
    <cellWatch r="G46139"/>
    <cellWatch r="G46140"/>
    <cellWatch r="G46141"/>
    <cellWatch r="G46142"/>
    <cellWatch r="G46143"/>
    <cellWatch r="G46144"/>
    <cellWatch r="G46145"/>
    <cellWatch r="G46146"/>
    <cellWatch r="G46147"/>
    <cellWatch r="G46148"/>
    <cellWatch r="G46149"/>
    <cellWatch r="G46150"/>
    <cellWatch r="G46151"/>
    <cellWatch r="G46152"/>
    <cellWatch r="G46153"/>
    <cellWatch r="G46154"/>
    <cellWatch r="G46155"/>
    <cellWatch r="G46156"/>
    <cellWatch r="G46157"/>
    <cellWatch r="G46158"/>
    <cellWatch r="G46159"/>
    <cellWatch r="G46160"/>
    <cellWatch r="G46161"/>
    <cellWatch r="G46162"/>
    <cellWatch r="G46163"/>
    <cellWatch r="G46164"/>
    <cellWatch r="G46165"/>
    <cellWatch r="G46166"/>
    <cellWatch r="G46167"/>
    <cellWatch r="G46168"/>
    <cellWatch r="G46169"/>
    <cellWatch r="G46170"/>
    <cellWatch r="G46171"/>
    <cellWatch r="G46172"/>
    <cellWatch r="G46173"/>
    <cellWatch r="G46174"/>
    <cellWatch r="G46175"/>
    <cellWatch r="G46176"/>
    <cellWatch r="G46177"/>
    <cellWatch r="G46178"/>
    <cellWatch r="G46179"/>
    <cellWatch r="G46180"/>
    <cellWatch r="G46181"/>
    <cellWatch r="G46182"/>
    <cellWatch r="G46183"/>
    <cellWatch r="G46184"/>
    <cellWatch r="G46185"/>
    <cellWatch r="G46186"/>
    <cellWatch r="G46187"/>
    <cellWatch r="G46188"/>
    <cellWatch r="G46189"/>
    <cellWatch r="G46190"/>
    <cellWatch r="G46191"/>
    <cellWatch r="G46192"/>
    <cellWatch r="G46193"/>
    <cellWatch r="G46194"/>
    <cellWatch r="G46195"/>
    <cellWatch r="G46196"/>
    <cellWatch r="G46197"/>
    <cellWatch r="G46198"/>
    <cellWatch r="G46199"/>
    <cellWatch r="G46200"/>
    <cellWatch r="G46201"/>
    <cellWatch r="G46202"/>
    <cellWatch r="G46203"/>
    <cellWatch r="G46204"/>
    <cellWatch r="G46205"/>
    <cellWatch r="G46206"/>
    <cellWatch r="G46207"/>
    <cellWatch r="G46208"/>
    <cellWatch r="G46209"/>
    <cellWatch r="G46210"/>
    <cellWatch r="G46211"/>
    <cellWatch r="G46212"/>
    <cellWatch r="G46213"/>
    <cellWatch r="G46214"/>
    <cellWatch r="G46215"/>
    <cellWatch r="G46216"/>
    <cellWatch r="G46217"/>
    <cellWatch r="G46218"/>
    <cellWatch r="G46219"/>
    <cellWatch r="G46220"/>
    <cellWatch r="G46221"/>
    <cellWatch r="G46222"/>
    <cellWatch r="G46223"/>
    <cellWatch r="G46224"/>
    <cellWatch r="G46225"/>
    <cellWatch r="G46226"/>
    <cellWatch r="G46227"/>
    <cellWatch r="G46228"/>
    <cellWatch r="G46229"/>
    <cellWatch r="G46230"/>
    <cellWatch r="G46231"/>
    <cellWatch r="G46232"/>
    <cellWatch r="G46233"/>
    <cellWatch r="G46234"/>
    <cellWatch r="G46235"/>
    <cellWatch r="G46236"/>
    <cellWatch r="G46237"/>
    <cellWatch r="G46238"/>
    <cellWatch r="G46239"/>
    <cellWatch r="G46240"/>
    <cellWatch r="G46241"/>
    <cellWatch r="G46242"/>
    <cellWatch r="G46243"/>
    <cellWatch r="G46244"/>
    <cellWatch r="G46245"/>
    <cellWatch r="G46246"/>
    <cellWatch r="G46247"/>
    <cellWatch r="G46248"/>
    <cellWatch r="G46249"/>
    <cellWatch r="G46250"/>
    <cellWatch r="G46251"/>
    <cellWatch r="G46252"/>
    <cellWatch r="G46253"/>
    <cellWatch r="G46254"/>
    <cellWatch r="G46255"/>
    <cellWatch r="G46256"/>
    <cellWatch r="G46257"/>
    <cellWatch r="G46258"/>
    <cellWatch r="G46259"/>
    <cellWatch r="G46260"/>
    <cellWatch r="G46261"/>
    <cellWatch r="G46262"/>
    <cellWatch r="G46263"/>
    <cellWatch r="G46264"/>
    <cellWatch r="G46265"/>
    <cellWatch r="G46266"/>
    <cellWatch r="G46267"/>
    <cellWatch r="G46268"/>
    <cellWatch r="G46269"/>
    <cellWatch r="G46270"/>
    <cellWatch r="G46271"/>
    <cellWatch r="G46272"/>
    <cellWatch r="G46273"/>
    <cellWatch r="G46274"/>
    <cellWatch r="G46275"/>
    <cellWatch r="G46276"/>
    <cellWatch r="G46277"/>
    <cellWatch r="G46278"/>
    <cellWatch r="G46279"/>
    <cellWatch r="G46280"/>
    <cellWatch r="G46281"/>
    <cellWatch r="G46282"/>
    <cellWatch r="G46283"/>
    <cellWatch r="G46284"/>
    <cellWatch r="G46285"/>
    <cellWatch r="G46286"/>
    <cellWatch r="G46287"/>
    <cellWatch r="G46288"/>
    <cellWatch r="G46289"/>
    <cellWatch r="G46290"/>
    <cellWatch r="G46291"/>
    <cellWatch r="G46292"/>
    <cellWatch r="G46293"/>
    <cellWatch r="G46294"/>
    <cellWatch r="G46295"/>
    <cellWatch r="G46296"/>
    <cellWatch r="G46297"/>
    <cellWatch r="G46298"/>
    <cellWatch r="G46299"/>
    <cellWatch r="G46300"/>
    <cellWatch r="G46301"/>
    <cellWatch r="G46302"/>
    <cellWatch r="G46303"/>
    <cellWatch r="G46304"/>
    <cellWatch r="G46305"/>
    <cellWatch r="G46306"/>
    <cellWatch r="G46307"/>
    <cellWatch r="G46308"/>
    <cellWatch r="G46309"/>
    <cellWatch r="G46310"/>
    <cellWatch r="G46311"/>
    <cellWatch r="G46312"/>
    <cellWatch r="G46313"/>
    <cellWatch r="G46314"/>
    <cellWatch r="G46315"/>
    <cellWatch r="G46316"/>
    <cellWatch r="G46317"/>
    <cellWatch r="G46318"/>
    <cellWatch r="G46319"/>
    <cellWatch r="G46320"/>
    <cellWatch r="G46321"/>
    <cellWatch r="G46322"/>
    <cellWatch r="G46323"/>
    <cellWatch r="G46324"/>
    <cellWatch r="G46325"/>
    <cellWatch r="G46326"/>
    <cellWatch r="G46327"/>
    <cellWatch r="G46328"/>
    <cellWatch r="G46329"/>
    <cellWatch r="G46330"/>
    <cellWatch r="G46331"/>
    <cellWatch r="G46332"/>
    <cellWatch r="G46333"/>
    <cellWatch r="G46334"/>
    <cellWatch r="G46335"/>
    <cellWatch r="G46336"/>
    <cellWatch r="G46337"/>
    <cellWatch r="G46338"/>
    <cellWatch r="G46339"/>
    <cellWatch r="G46340"/>
    <cellWatch r="G46341"/>
    <cellWatch r="G46342"/>
    <cellWatch r="G46343"/>
    <cellWatch r="G46344"/>
    <cellWatch r="G46345"/>
    <cellWatch r="G46346"/>
    <cellWatch r="G46347"/>
    <cellWatch r="G46348"/>
    <cellWatch r="G46349"/>
    <cellWatch r="G46350"/>
    <cellWatch r="G46351"/>
    <cellWatch r="G46352"/>
    <cellWatch r="G46353"/>
    <cellWatch r="G46354"/>
    <cellWatch r="G46355"/>
    <cellWatch r="G46356"/>
    <cellWatch r="G46357"/>
    <cellWatch r="G46358"/>
    <cellWatch r="G46359"/>
    <cellWatch r="G46360"/>
    <cellWatch r="G46361"/>
    <cellWatch r="G46362"/>
    <cellWatch r="G46363"/>
    <cellWatch r="G46364"/>
    <cellWatch r="G46365"/>
    <cellWatch r="G46366"/>
    <cellWatch r="G46367"/>
    <cellWatch r="G46368"/>
    <cellWatch r="G46369"/>
    <cellWatch r="G46370"/>
    <cellWatch r="G46371"/>
    <cellWatch r="G46372"/>
    <cellWatch r="G46373"/>
    <cellWatch r="G46374"/>
    <cellWatch r="G46375"/>
    <cellWatch r="G46376"/>
    <cellWatch r="G46377"/>
    <cellWatch r="G46378"/>
    <cellWatch r="G46379"/>
    <cellWatch r="G46380"/>
    <cellWatch r="G46381"/>
    <cellWatch r="G46382"/>
    <cellWatch r="G46383"/>
    <cellWatch r="G46384"/>
    <cellWatch r="G46385"/>
    <cellWatch r="G46386"/>
    <cellWatch r="G46387"/>
    <cellWatch r="G46388"/>
    <cellWatch r="G46389"/>
    <cellWatch r="G46390"/>
    <cellWatch r="G46391"/>
    <cellWatch r="G46392"/>
    <cellWatch r="G46393"/>
    <cellWatch r="G46394"/>
    <cellWatch r="G46395"/>
    <cellWatch r="G46396"/>
    <cellWatch r="G46397"/>
    <cellWatch r="G46398"/>
    <cellWatch r="G46399"/>
    <cellWatch r="G46400"/>
    <cellWatch r="G46401"/>
    <cellWatch r="G46402"/>
    <cellWatch r="G46403"/>
    <cellWatch r="G46404"/>
    <cellWatch r="G46405"/>
    <cellWatch r="G46406"/>
    <cellWatch r="G46407"/>
    <cellWatch r="G46408"/>
    <cellWatch r="G46409"/>
    <cellWatch r="G46410"/>
    <cellWatch r="G46411"/>
    <cellWatch r="G46412"/>
    <cellWatch r="G46413"/>
    <cellWatch r="G46414"/>
    <cellWatch r="G46415"/>
    <cellWatch r="G46416"/>
    <cellWatch r="G46417"/>
    <cellWatch r="G46418"/>
    <cellWatch r="G46419"/>
    <cellWatch r="G46420"/>
    <cellWatch r="G46421"/>
    <cellWatch r="G46422"/>
    <cellWatch r="G46423"/>
    <cellWatch r="G46424"/>
    <cellWatch r="G46425"/>
    <cellWatch r="G46426"/>
    <cellWatch r="G46427"/>
    <cellWatch r="G46428"/>
    <cellWatch r="G46429"/>
    <cellWatch r="G46430"/>
    <cellWatch r="G46431"/>
    <cellWatch r="G46432"/>
    <cellWatch r="G46433"/>
    <cellWatch r="G46434"/>
    <cellWatch r="G46435"/>
    <cellWatch r="G46436"/>
    <cellWatch r="G46437"/>
    <cellWatch r="G46438"/>
    <cellWatch r="G46439"/>
    <cellWatch r="G46440"/>
    <cellWatch r="G46441"/>
    <cellWatch r="G46442"/>
    <cellWatch r="G46443"/>
    <cellWatch r="G46444"/>
    <cellWatch r="G46445"/>
    <cellWatch r="G46446"/>
    <cellWatch r="G46447"/>
    <cellWatch r="G46448"/>
    <cellWatch r="G46449"/>
    <cellWatch r="G46450"/>
    <cellWatch r="G46451"/>
    <cellWatch r="G46452"/>
    <cellWatch r="G46453"/>
    <cellWatch r="G46454"/>
    <cellWatch r="G46455"/>
    <cellWatch r="G46456"/>
    <cellWatch r="G46457"/>
    <cellWatch r="G46458"/>
    <cellWatch r="G46459"/>
    <cellWatch r="G46460"/>
    <cellWatch r="G46461"/>
    <cellWatch r="G46462"/>
    <cellWatch r="G46463"/>
    <cellWatch r="G46464"/>
    <cellWatch r="G46465"/>
    <cellWatch r="G46466"/>
    <cellWatch r="G46467"/>
    <cellWatch r="G46468"/>
    <cellWatch r="G46469"/>
    <cellWatch r="G46470"/>
    <cellWatch r="G46471"/>
    <cellWatch r="G46472"/>
    <cellWatch r="G46473"/>
    <cellWatch r="G46474"/>
    <cellWatch r="G46475"/>
    <cellWatch r="G46476"/>
    <cellWatch r="G46477"/>
    <cellWatch r="G46478"/>
    <cellWatch r="G46479"/>
    <cellWatch r="G46480"/>
    <cellWatch r="G46481"/>
    <cellWatch r="G46482"/>
    <cellWatch r="G46483"/>
    <cellWatch r="G46484"/>
    <cellWatch r="G46485"/>
    <cellWatch r="G46486"/>
    <cellWatch r="G46487"/>
    <cellWatch r="G46488"/>
    <cellWatch r="G46489"/>
    <cellWatch r="G46490"/>
    <cellWatch r="G46491"/>
    <cellWatch r="G46492"/>
    <cellWatch r="G46493"/>
    <cellWatch r="G46494"/>
    <cellWatch r="G46495"/>
    <cellWatch r="G46496"/>
    <cellWatch r="G46497"/>
    <cellWatch r="G46498"/>
    <cellWatch r="G46499"/>
    <cellWatch r="G46500"/>
    <cellWatch r="G46501"/>
    <cellWatch r="G46502"/>
    <cellWatch r="G46503"/>
    <cellWatch r="G46504"/>
    <cellWatch r="G46505"/>
    <cellWatch r="G46506"/>
    <cellWatch r="G46507"/>
    <cellWatch r="G46508"/>
    <cellWatch r="G46509"/>
    <cellWatch r="G46510"/>
    <cellWatch r="G46511"/>
    <cellWatch r="G46512"/>
    <cellWatch r="G46513"/>
    <cellWatch r="G46514"/>
    <cellWatch r="G46515"/>
    <cellWatch r="G46516"/>
    <cellWatch r="G46517"/>
    <cellWatch r="G46518"/>
    <cellWatch r="G46519"/>
    <cellWatch r="G46520"/>
    <cellWatch r="G46521"/>
    <cellWatch r="G46522"/>
    <cellWatch r="G46523"/>
    <cellWatch r="G46524"/>
    <cellWatch r="G46525"/>
    <cellWatch r="G46526"/>
    <cellWatch r="G46527"/>
    <cellWatch r="G46528"/>
    <cellWatch r="G46529"/>
    <cellWatch r="G46530"/>
    <cellWatch r="G46531"/>
    <cellWatch r="G46532"/>
    <cellWatch r="G46533"/>
    <cellWatch r="G46534"/>
    <cellWatch r="G46535"/>
    <cellWatch r="G46536"/>
    <cellWatch r="G46537"/>
    <cellWatch r="G46538"/>
    <cellWatch r="G46539"/>
    <cellWatch r="G46540"/>
    <cellWatch r="G46541"/>
    <cellWatch r="G46542"/>
    <cellWatch r="G46543"/>
    <cellWatch r="G46544"/>
    <cellWatch r="G46545"/>
    <cellWatch r="G46546"/>
    <cellWatch r="G46547"/>
    <cellWatch r="G46548"/>
    <cellWatch r="G46549"/>
    <cellWatch r="G46550"/>
    <cellWatch r="G46551"/>
    <cellWatch r="G46552"/>
    <cellWatch r="G46553"/>
    <cellWatch r="G46554"/>
    <cellWatch r="G46555"/>
    <cellWatch r="G46556"/>
    <cellWatch r="G46557"/>
    <cellWatch r="G46558"/>
    <cellWatch r="G46559"/>
    <cellWatch r="G46560"/>
    <cellWatch r="G46561"/>
    <cellWatch r="G46562"/>
    <cellWatch r="G46563"/>
    <cellWatch r="G46564"/>
    <cellWatch r="G46565"/>
    <cellWatch r="G46566"/>
    <cellWatch r="G46567"/>
    <cellWatch r="G46568"/>
    <cellWatch r="G46569"/>
    <cellWatch r="G46570"/>
    <cellWatch r="G46571"/>
    <cellWatch r="G46572"/>
    <cellWatch r="G46573"/>
    <cellWatch r="G46574"/>
    <cellWatch r="G46575"/>
    <cellWatch r="G46576"/>
    <cellWatch r="G46577"/>
    <cellWatch r="G46578"/>
    <cellWatch r="G46579"/>
    <cellWatch r="G46580"/>
    <cellWatch r="G46581"/>
    <cellWatch r="G46582"/>
    <cellWatch r="G46583"/>
    <cellWatch r="G46584"/>
    <cellWatch r="G46585"/>
    <cellWatch r="G46586"/>
    <cellWatch r="G46587"/>
    <cellWatch r="G46588"/>
    <cellWatch r="G46589"/>
    <cellWatch r="G46590"/>
    <cellWatch r="G46591"/>
    <cellWatch r="G46592"/>
    <cellWatch r="G46593"/>
    <cellWatch r="G46594"/>
    <cellWatch r="G46595"/>
    <cellWatch r="G46596"/>
    <cellWatch r="G46597"/>
    <cellWatch r="G46598"/>
    <cellWatch r="G46599"/>
    <cellWatch r="G46600"/>
    <cellWatch r="G46601"/>
    <cellWatch r="G46602"/>
    <cellWatch r="G46603"/>
    <cellWatch r="G46604"/>
    <cellWatch r="G46605"/>
    <cellWatch r="G46606"/>
    <cellWatch r="G46607"/>
    <cellWatch r="G46608"/>
    <cellWatch r="G46609"/>
    <cellWatch r="G46610"/>
    <cellWatch r="G46611"/>
    <cellWatch r="G46612"/>
    <cellWatch r="G46613"/>
    <cellWatch r="G46614"/>
    <cellWatch r="G46615"/>
    <cellWatch r="G46616"/>
    <cellWatch r="G46617"/>
    <cellWatch r="G46618"/>
    <cellWatch r="G46619"/>
    <cellWatch r="G46620"/>
    <cellWatch r="G46621"/>
    <cellWatch r="G46622"/>
    <cellWatch r="G46623"/>
    <cellWatch r="G46624"/>
    <cellWatch r="G46625"/>
    <cellWatch r="G46626"/>
    <cellWatch r="G46627"/>
    <cellWatch r="G46628"/>
    <cellWatch r="G46629"/>
    <cellWatch r="G46630"/>
    <cellWatch r="G46631"/>
    <cellWatch r="G46632"/>
    <cellWatch r="G46633"/>
    <cellWatch r="G46634"/>
    <cellWatch r="G46635"/>
    <cellWatch r="G46636"/>
    <cellWatch r="G46637"/>
    <cellWatch r="G46638"/>
    <cellWatch r="G46639"/>
    <cellWatch r="G46640"/>
    <cellWatch r="G46641"/>
    <cellWatch r="G46642"/>
    <cellWatch r="G46643"/>
    <cellWatch r="G46644"/>
    <cellWatch r="G46645"/>
    <cellWatch r="G46646"/>
    <cellWatch r="G46647"/>
    <cellWatch r="G46648"/>
    <cellWatch r="G46649"/>
    <cellWatch r="G46650"/>
    <cellWatch r="G46651"/>
    <cellWatch r="G46652"/>
    <cellWatch r="G46653"/>
    <cellWatch r="G46654"/>
    <cellWatch r="G46655"/>
    <cellWatch r="G46656"/>
    <cellWatch r="G46657"/>
    <cellWatch r="G46658"/>
    <cellWatch r="G46659"/>
    <cellWatch r="G46660"/>
    <cellWatch r="G46661"/>
    <cellWatch r="G46662"/>
    <cellWatch r="G46663"/>
    <cellWatch r="G46664"/>
    <cellWatch r="G46665"/>
    <cellWatch r="G46666"/>
    <cellWatch r="G46667"/>
    <cellWatch r="G46668"/>
    <cellWatch r="G46669"/>
    <cellWatch r="G46670"/>
    <cellWatch r="G46671"/>
    <cellWatch r="G46672"/>
    <cellWatch r="G46673"/>
    <cellWatch r="G46674"/>
    <cellWatch r="G46675"/>
    <cellWatch r="G46676"/>
    <cellWatch r="G46677"/>
    <cellWatch r="G46678"/>
    <cellWatch r="G46679"/>
    <cellWatch r="G46680"/>
    <cellWatch r="G46681"/>
    <cellWatch r="G46682"/>
    <cellWatch r="G46683"/>
    <cellWatch r="G46684"/>
    <cellWatch r="G46685"/>
    <cellWatch r="G46686"/>
    <cellWatch r="G46687"/>
    <cellWatch r="G46688"/>
    <cellWatch r="G46689"/>
    <cellWatch r="G46690"/>
    <cellWatch r="G46691"/>
    <cellWatch r="G46692"/>
    <cellWatch r="G46693"/>
    <cellWatch r="G46694"/>
    <cellWatch r="G46695"/>
    <cellWatch r="G46696"/>
    <cellWatch r="G46697"/>
    <cellWatch r="G46698"/>
    <cellWatch r="G46699"/>
    <cellWatch r="G46700"/>
    <cellWatch r="G46701"/>
    <cellWatch r="G46702"/>
    <cellWatch r="G46703"/>
    <cellWatch r="G46704"/>
    <cellWatch r="G46705"/>
    <cellWatch r="G46706"/>
    <cellWatch r="G46707"/>
    <cellWatch r="G46708"/>
    <cellWatch r="G46709"/>
    <cellWatch r="G46710"/>
    <cellWatch r="G46711"/>
    <cellWatch r="G46712"/>
    <cellWatch r="G46713"/>
    <cellWatch r="G46714"/>
    <cellWatch r="G46715"/>
    <cellWatch r="G46716"/>
    <cellWatch r="G46717"/>
    <cellWatch r="G46718"/>
    <cellWatch r="G46719"/>
    <cellWatch r="G46720"/>
    <cellWatch r="G46721"/>
    <cellWatch r="G46722"/>
    <cellWatch r="G46723"/>
    <cellWatch r="G46724"/>
    <cellWatch r="G46725"/>
    <cellWatch r="G46726"/>
    <cellWatch r="G46727"/>
    <cellWatch r="G46728"/>
    <cellWatch r="G46729"/>
    <cellWatch r="G46730"/>
    <cellWatch r="G46731"/>
    <cellWatch r="G46732"/>
    <cellWatch r="G46733"/>
    <cellWatch r="G46734"/>
    <cellWatch r="G46735"/>
    <cellWatch r="G46736"/>
    <cellWatch r="G46737"/>
    <cellWatch r="G46738"/>
    <cellWatch r="G46739"/>
    <cellWatch r="G46740"/>
    <cellWatch r="G46741"/>
    <cellWatch r="G46742"/>
    <cellWatch r="G46743"/>
    <cellWatch r="G46744"/>
    <cellWatch r="G46745"/>
    <cellWatch r="G46746"/>
    <cellWatch r="G46747"/>
    <cellWatch r="G46748"/>
    <cellWatch r="G46749"/>
    <cellWatch r="G46750"/>
    <cellWatch r="G46751"/>
    <cellWatch r="G46752"/>
    <cellWatch r="G46753"/>
    <cellWatch r="G46754"/>
    <cellWatch r="G46755"/>
    <cellWatch r="G46756"/>
    <cellWatch r="G46757"/>
    <cellWatch r="G46758"/>
    <cellWatch r="G46759"/>
    <cellWatch r="G46760"/>
    <cellWatch r="G46761"/>
    <cellWatch r="G46762"/>
    <cellWatch r="G46763"/>
    <cellWatch r="G46764"/>
    <cellWatch r="G46765"/>
    <cellWatch r="G46766"/>
    <cellWatch r="G46767"/>
    <cellWatch r="G46768"/>
    <cellWatch r="G46769"/>
    <cellWatch r="G46770"/>
    <cellWatch r="G46771"/>
    <cellWatch r="G46772"/>
    <cellWatch r="G46773"/>
    <cellWatch r="G46774"/>
    <cellWatch r="G46775"/>
    <cellWatch r="G46776"/>
    <cellWatch r="G46777"/>
    <cellWatch r="G46778"/>
    <cellWatch r="G46779"/>
    <cellWatch r="G46780"/>
    <cellWatch r="G46781"/>
    <cellWatch r="G46782"/>
    <cellWatch r="G46783"/>
    <cellWatch r="G46784"/>
    <cellWatch r="G46785"/>
    <cellWatch r="G46786"/>
    <cellWatch r="G46787"/>
    <cellWatch r="G46788"/>
    <cellWatch r="G46789"/>
    <cellWatch r="G46790"/>
    <cellWatch r="G46791"/>
    <cellWatch r="G46792"/>
    <cellWatch r="G46793"/>
    <cellWatch r="G46794"/>
    <cellWatch r="G46795"/>
    <cellWatch r="G46796"/>
    <cellWatch r="G46797"/>
    <cellWatch r="G46798"/>
    <cellWatch r="G46799"/>
    <cellWatch r="G46800"/>
    <cellWatch r="G46801"/>
    <cellWatch r="G46802"/>
    <cellWatch r="G46803"/>
    <cellWatch r="G46804"/>
    <cellWatch r="G46805"/>
    <cellWatch r="G46806"/>
    <cellWatch r="G46807"/>
    <cellWatch r="G46808"/>
    <cellWatch r="G46809"/>
    <cellWatch r="G46810"/>
    <cellWatch r="G46811"/>
    <cellWatch r="G46812"/>
    <cellWatch r="G46813"/>
    <cellWatch r="G46814"/>
    <cellWatch r="G46815"/>
    <cellWatch r="G46816"/>
    <cellWatch r="G46817"/>
    <cellWatch r="G46818"/>
    <cellWatch r="G46819"/>
    <cellWatch r="G46820"/>
    <cellWatch r="G46821"/>
    <cellWatch r="G46822"/>
    <cellWatch r="G46823"/>
    <cellWatch r="G46824"/>
    <cellWatch r="G46825"/>
    <cellWatch r="G46826"/>
    <cellWatch r="G46827"/>
    <cellWatch r="G46828"/>
    <cellWatch r="G46829"/>
    <cellWatch r="G46830"/>
    <cellWatch r="G46831"/>
    <cellWatch r="G46832"/>
    <cellWatch r="G46833"/>
    <cellWatch r="G46834"/>
    <cellWatch r="G46835"/>
    <cellWatch r="G46836"/>
    <cellWatch r="G46837"/>
    <cellWatch r="G46838"/>
    <cellWatch r="G46839"/>
    <cellWatch r="G46840"/>
    <cellWatch r="G46841"/>
    <cellWatch r="G46842"/>
    <cellWatch r="G46843"/>
    <cellWatch r="G46844"/>
    <cellWatch r="G46845"/>
    <cellWatch r="G46846"/>
    <cellWatch r="G46847"/>
    <cellWatch r="G46848"/>
    <cellWatch r="G46849"/>
    <cellWatch r="G46850"/>
    <cellWatch r="G46851"/>
    <cellWatch r="G46852"/>
    <cellWatch r="G46853"/>
    <cellWatch r="G46854"/>
    <cellWatch r="G46855"/>
    <cellWatch r="G46856"/>
    <cellWatch r="G46857"/>
    <cellWatch r="G46858"/>
    <cellWatch r="G46859"/>
    <cellWatch r="G46860"/>
    <cellWatch r="G46861"/>
    <cellWatch r="G46862"/>
    <cellWatch r="G46863"/>
    <cellWatch r="G46864"/>
    <cellWatch r="G46865"/>
    <cellWatch r="G46866"/>
    <cellWatch r="G46867"/>
    <cellWatch r="G46868"/>
    <cellWatch r="G46869"/>
    <cellWatch r="G46870"/>
    <cellWatch r="G46871"/>
    <cellWatch r="G46872"/>
    <cellWatch r="G46873"/>
    <cellWatch r="G46874"/>
    <cellWatch r="G46875"/>
    <cellWatch r="G46876"/>
    <cellWatch r="G46877"/>
    <cellWatch r="G46878"/>
    <cellWatch r="G46879"/>
    <cellWatch r="G46880"/>
    <cellWatch r="G46881"/>
    <cellWatch r="G46882"/>
    <cellWatch r="G46883"/>
    <cellWatch r="G46884"/>
    <cellWatch r="G46885"/>
    <cellWatch r="G46886"/>
    <cellWatch r="G46887"/>
    <cellWatch r="G46888"/>
    <cellWatch r="G46889"/>
    <cellWatch r="G46890"/>
    <cellWatch r="G46891"/>
    <cellWatch r="G46892"/>
    <cellWatch r="G46893"/>
    <cellWatch r="G46894"/>
    <cellWatch r="G46895"/>
    <cellWatch r="G46896"/>
    <cellWatch r="G46897"/>
    <cellWatch r="G46898"/>
    <cellWatch r="G46899"/>
    <cellWatch r="G46900"/>
    <cellWatch r="G46901"/>
    <cellWatch r="G46902"/>
    <cellWatch r="G46903"/>
    <cellWatch r="G46904"/>
    <cellWatch r="G46905"/>
    <cellWatch r="G46906"/>
    <cellWatch r="G46907"/>
    <cellWatch r="G46908"/>
    <cellWatch r="G46909"/>
    <cellWatch r="G46910"/>
    <cellWatch r="G46911"/>
    <cellWatch r="G46912"/>
    <cellWatch r="G46913"/>
    <cellWatch r="G46914"/>
    <cellWatch r="G46915"/>
    <cellWatch r="G46916"/>
    <cellWatch r="G46917"/>
    <cellWatch r="G46918"/>
    <cellWatch r="G46919"/>
    <cellWatch r="G46920"/>
    <cellWatch r="G46921"/>
    <cellWatch r="G46922"/>
    <cellWatch r="G46923"/>
    <cellWatch r="G46924"/>
    <cellWatch r="G46925"/>
    <cellWatch r="G46926"/>
    <cellWatch r="G46927"/>
    <cellWatch r="G46928"/>
    <cellWatch r="G46929"/>
    <cellWatch r="G46930"/>
    <cellWatch r="G46931"/>
    <cellWatch r="G46932"/>
    <cellWatch r="G46933"/>
    <cellWatch r="G46934"/>
    <cellWatch r="G46935"/>
    <cellWatch r="G46936"/>
    <cellWatch r="G46937"/>
    <cellWatch r="G46938"/>
    <cellWatch r="G46939"/>
    <cellWatch r="G46940"/>
    <cellWatch r="G46941"/>
    <cellWatch r="G46942"/>
    <cellWatch r="G46943"/>
    <cellWatch r="G46944"/>
    <cellWatch r="G46945"/>
    <cellWatch r="G46946"/>
    <cellWatch r="G46947"/>
    <cellWatch r="G46948"/>
    <cellWatch r="G46949"/>
    <cellWatch r="G46950"/>
    <cellWatch r="G46951"/>
    <cellWatch r="G46952"/>
    <cellWatch r="G46953"/>
    <cellWatch r="G46954"/>
    <cellWatch r="G46955"/>
    <cellWatch r="G46956"/>
    <cellWatch r="G46957"/>
    <cellWatch r="G46958"/>
    <cellWatch r="G46959"/>
    <cellWatch r="G46960"/>
    <cellWatch r="G46961"/>
    <cellWatch r="G46962"/>
    <cellWatch r="G46963"/>
    <cellWatch r="G46964"/>
    <cellWatch r="G46965"/>
    <cellWatch r="G46966"/>
    <cellWatch r="G46967"/>
    <cellWatch r="G46968"/>
    <cellWatch r="G46969"/>
    <cellWatch r="G46970"/>
    <cellWatch r="G46971"/>
    <cellWatch r="G46972"/>
    <cellWatch r="G46973"/>
    <cellWatch r="G46974"/>
    <cellWatch r="G46975"/>
    <cellWatch r="G46976"/>
    <cellWatch r="G46977"/>
    <cellWatch r="G46978"/>
    <cellWatch r="G46979"/>
    <cellWatch r="G46980"/>
    <cellWatch r="G46981"/>
    <cellWatch r="G46982"/>
    <cellWatch r="G46983"/>
    <cellWatch r="G46984"/>
    <cellWatch r="G46985"/>
    <cellWatch r="G46986"/>
    <cellWatch r="G46987"/>
    <cellWatch r="G46988"/>
    <cellWatch r="G46989"/>
    <cellWatch r="G46990"/>
    <cellWatch r="G46991"/>
    <cellWatch r="G46992"/>
    <cellWatch r="G46993"/>
    <cellWatch r="G46994"/>
    <cellWatch r="G46995"/>
    <cellWatch r="G46996"/>
    <cellWatch r="G46997"/>
    <cellWatch r="G46998"/>
    <cellWatch r="G46999"/>
    <cellWatch r="G47000"/>
    <cellWatch r="G47001"/>
    <cellWatch r="G47002"/>
    <cellWatch r="G47003"/>
    <cellWatch r="G47004"/>
    <cellWatch r="G47005"/>
    <cellWatch r="G47006"/>
    <cellWatch r="G47007"/>
    <cellWatch r="G47008"/>
    <cellWatch r="G47009"/>
    <cellWatch r="G47010"/>
    <cellWatch r="G47011"/>
    <cellWatch r="G47012"/>
    <cellWatch r="G47013"/>
    <cellWatch r="G47014"/>
    <cellWatch r="G47015"/>
    <cellWatch r="G47016"/>
    <cellWatch r="G47017"/>
    <cellWatch r="G47018"/>
    <cellWatch r="G47019"/>
    <cellWatch r="G47020"/>
    <cellWatch r="G47021"/>
    <cellWatch r="G47022"/>
    <cellWatch r="G47023"/>
    <cellWatch r="G47024"/>
    <cellWatch r="G47025"/>
    <cellWatch r="G47026"/>
    <cellWatch r="G47027"/>
    <cellWatch r="G47028"/>
    <cellWatch r="G47029"/>
    <cellWatch r="G47030"/>
    <cellWatch r="G47031"/>
    <cellWatch r="G47032"/>
    <cellWatch r="G47033"/>
    <cellWatch r="G47034"/>
    <cellWatch r="G47035"/>
    <cellWatch r="G47036"/>
    <cellWatch r="G47037"/>
    <cellWatch r="G47038"/>
    <cellWatch r="G47039"/>
    <cellWatch r="G47040"/>
    <cellWatch r="G47041"/>
    <cellWatch r="G47042"/>
    <cellWatch r="G47043"/>
    <cellWatch r="G47044"/>
    <cellWatch r="G47045"/>
    <cellWatch r="G47046"/>
    <cellWatch r="G47047"/>
    <cellWatch r="G47048"/>
    <cellWatch r="G47049"/>
    <cellWatch r="G47050"/>
    <cellWatch r="G47051"/>
    <cellWatch r="G47052"/>
    <cellWatch r="G47053"/>
    <cellWatch r="G47054"/>
    <cellWatch r="G47055"/>
    <cellWatch r="G47056"/>
    <cellWatch r="G47057"/>
    <cellWatch r="G47058"/>
    <cellWatch r="G47059"/>
    <cellWatch r="G47060"/>
    <cellWatch r="G47061"/>
    <cellWatch r="G47062"/>
    <cellWatch r="G47063"/>
    <cellWatch r="G47064"/>
    <cellWatch r="G47065"/>
    <cellWatch r="G47066"/>
    <cellWatch r="G47067"/>
    <cellWatch r="G47068"/>
    <cellWatch r="G47069"/>
    <cellWatch r="G47070"/>
    <cellWatch r="G47071"/>
    <cellWatch r="G47072"/>
    <cellWatch r="G47073"/>
    <cellWatch r="G47074"/>
    <cellWatch r="G47075"/>
    <cellWatch r="G47076"/>
    <cellWatch r="G47077"/>
    <cellWatch r="G47078"/>
    <cellWatch r="G47079"/>
    <cellWatch r="G47080"/>
    <cellWatch r="G47081"/>
    <cellWatch r="G47082"/>
    <cellWatch r="G47083"/>
    <cellWatch r="G47084"/>
    <cellWatch r="G47085"/>
    <cellWatch r="G47086"/>
    <cellWatch r="G47087"/>
    <cellWatch r="G47088"/>
    <cellWatch r="G47089"/>
    <cellWatch r="G47090"/>
    <cellWatch r="G47091"/>
    <cellWatch r="G47092"/>
    <cellWatch r="G47093"/>
    <cellWatch r="G47094"/>
    <cellWatch r="G47095"/>
    <cellWatch r="G47096"/>
    <cellWatch r="G47097"/>
    <cellWatch r="G47098"/>
    <cellWatch r="G47099"/>
    <cellWatch r="G47100"/>
    <cellWatch r="G47101"/>
    <cellWatch r="G47102"/>
    <cellWatch r="G47103"/>
    <cellWatch r="G47104"/>
    <cellWatch r="G47105"/>
    <cellWatch r="G47106"/>
    <cellWatch r="G47107"/>
    <cellWatch r="G47108"/>
    <cellWatch r="G47109"/>
    <cellWatch r="G47110"/>
    <cellWatch r="G47111"/>
    <cellWatch r="G47112"/>
    <cellWatch r="G47113"/>
    <cellWatch r="G47114"/>
    <cellWatch r="G47115"/>
    <cellWatch r="G47116"/>
    <cellWatch r="G47117"/>
    <cellWatch r="G47118"/>
    <cellWatch r="G47119"/>
    <cellWatch r="G47120"/>
    <cellWatch r="G47121"/>
    <cellWatch r="G47122"/>
    <cellWatch r="G47123"/>
    <cellWatch r="G47124"/>
    <cellWatch r="G47125"/>
    <cellWatch r="G47126"/>
    <cellWatch r="G47127"/>
    <cellWatch r="G47128"/>
    <cellWatch r="G47129"/>
    <cellWatch r="G47130"/>
    <cellWatch r="G47131"/>
    <cellWatch r="G47132"/>
    <cellWatch r="G47133"/>
    <cellWatch r="G47134"/>
    <cellWatch r="G47135"/>
    <cellWatch r="G47136"/>
    <cellWatch r="G47137"/>
    <cellWatch r="G47138"/>
    <cellWatch r="G47139"/>
    <cellWatch r="G47140"/>
    <cellWatch r="G47141"/>
    <cellWatch r="G47142"/>
    <cellWatch r="G47143"/>
    <cellWatch r="G47144"/>
    <cellWatch r="G47145"/>
    <cellWatch r="G47146"/>
    <cellWatch r="G47147"/>
    <cellWatch r="G47148"/>
    <cellWatch r="G47149"/>
    <cellWatch r="G47150"/>
    <cellWatch r="G47151"/>
    <cellWatch r="G47152"/>
    <cellWatch r="G47153"/>
    <cellWatch r="G47154"/>
    <cellWatch r="G47155"/>
    <cellWatch r="G47156"/>
    <cellWatch r="G47157"/>
    <cellWatch r="G47158"/>
    <cellWatch r="G47159"/>
    <cellWatch r="G47160"/>
    <cellWatch r="G47161"/>
    <cellWatch r="G47162"/>
    <cellWatch r="G47163"/>
    <cellWatch r="G47164"/>
    <cellWatch r="G47165"/>
    <cellWatch r="G47166"/>
    <cellWatch r="G47167"/>
    <cellWatch r="G47168"/>
    <cellWatch r="G47169"/>
    <cellWatch r="G47170"/>
    <cellWatch r="G47171"/>
    <cellWatch r="G47172"/>
    <cellWatch r="G47173"/>
    <cellWatch r="G47174"/>
    <cellWatch r="G47175"/>
    <cellWatch r="G47176"/>
    <cellWatch r="G47177"/>
    <cellWatch r="G47178"/>
    <cellWatch r="G47179"/>
    <cellWatch r="G47180"/>
    <cellWatch r="G47181"/>
    <cellWatch r="G47182"/>
    <cellWatch r="G47183"/>
    <cellWatch r="G47184"/>
    <cellWatch r="G47185"/>
    <cellWatch r="G47186"/>
    <cellWatch r="G47187"/>
    <cellWatch r="G47188"/>
    <cellWatch r="G47189"/>
    <cellWatch r="G47190"/>
    <cellWatch r="G47191"/>
    <cellWatch r="G47192"/>
    <cellWatch r="G47193"/>
    <cellWatch r="G47194"/>
    <cellWatch r="G47195"/>
    <cellWatch r="G47196"/>
    <cellWatch r="G47197"/>
    <cellWatch r="G47198"/>
    <cellWatch r="G47199"/>
    <cellWatch r="G47200"/>
    <cellWatch r="G47201"/>
    <cellWatch r="G47202"/>
    <cellWatch r="G47203"/>
    <cellWatch r="G47204"/>
    <cellWatch r="G47205"/>
    <cellWatch r="G47206"/>
    <cellWatch r="G47207"/>
    <cellWatch r="G47208"/>
    <cellWatch r="G47209"/>
    <cellWatch r="G47210"/>
    <cellWatch r="G47211"/>
    <cellWatch r="G47212"/>
    <cellWatch r="G47213"/>
    <cellWatch r="G47214"/>
    <cellWatch r="G47215"/>
    <cellWatch r="G47216"/>
    <cellWatch r="G47217"/>
    <cellWatch r="G47218"/>
    <cellWatch r="G47219"/>
    <cellWatch r="G47220"/>
    <cellWatch r="G47221"/>
    <cellWatch r="G47222"/>
    <cellWatch r="G47223"/>
    <cellWatch r="G47224"/>
    <cellWatch r="G47225"/>
    <cellWatch r="G47226"/>
    <cellWatch r="G47227"/>
    <cellWatch r="G47228"/>
    <cellWatch r="G47229"/>
    <cellWatch r="G47230"/>
    <cellWatch r="G47231"/>
    <cellWatch r="G47232"/>
    <cellWatch r="G47233"/>
    <cellWatch r="G47234"/>
    <cellWatch r="G47235"/>
    <cellWatch r="G47236"/>
    <cellWatch r="G47237"/>
    <cellWatch r="G47238"/>
    <cellWatch r="G47239"/>
    <cellWatch r="G47240"/>
    <cellWatch r="G47241"/>
    <cellWatch r="G47242"/>
    <cellWatch r="G47243"/>
    <cellWatch r="G47244"/>
    <cellWatch r="G47245"/>
    <cellWatch r="G47246"/>
    <cellWatch r="G47247"/>
    <cellWatch r="G47248"/>
    <cellWatch r="G47249"/>
    <cellWatch r="G47250"/>
    <cellWatch r="G47251"/>
    <cellWatch r="G47252"/>
    <cellWatch r="G47253"/>
    <cellWatch r="G47254"/>
    <cellWatch r="G47255"/>
    <cellWatch r="G47256"/>
    <cellWatch r="G47257"/>
    <cellWatch r="G47258"/>
    <cellWatch r="G47259"/>
    <cellWatch r="G47260"/>
    <cellWatch r="G47261"/>
    <cellWatch r="G47262"/>
    <cellWatch r="G47263"/>
    <cellWatch r="G47264"/>
    <cellWatch r="G47265"/>
    <cellWatch r="G47266"/>
    <cellWatch r="G47267"/>
    <cellWatch r="G47268"/>
    <cellWatch r="G47269"/>
    <cellWatch r="G47270"/>
    <cellWatch r="G47271"/>
    <cellWatch r="G47272"/>
    <cellWatch r="G47273"/>
    <cellWatch r="G47274"/>
    <cellWatch r="G47275"/>
    <cellWatch r="G47276"/>
    <cellWatch r="G47277"/>
    <cellWatch r="G47278"/>
    <cellWatch r="G47279"/>
    <cellWatch r="G47280"/>
    <cellWatch r="G47281"/>
    <cellWatch r="G47282"/>
    <cellWatch r="G47283"/>
    <cellWatch r="G47284"/>
    <cellWatch r="G47285"/>
    <cellWatch r="G47286"/>
    <cellWatch r="G47287"/>
    <cellWatch r="G47288"/>
    <cellWatch r="G47289"/>
    <cellWatch r="G47290"/>
    <cellWatch r="G47291"/>
    <cellWatch r="G47292"/>
    <cellWatch r="G47293"/>
    <cellWatch r="G47294"/>
    <cellWatch r="G47295"/>
    <cellWatch r="G47296"/>
    <cellWatch r="G47297"/>
    <cellWatch r="G47298"/>
    <cellWatch r="G47299"/>
    <cellWatch r="G47300"/>
    <cellWatch r="G47301"/>
    <cellWatch r="G47302"/>
    <cellWatch r="G47303"/>
    <cellWatch r="G47304"/>
    <cellWatch r="G47305"/>
    <cellWatch r="G47306"/>
    <cellWatch r="G47307"/>
    <cellWatch r="G47308"/>
    <cellWatch r="G47309"/>
    <cellWatch r="G47310"/>
    <cellWatch r="G47311"/>
    <cellWatch r="G47312"/>
    <cellWatch r="G47313"/>
    <cellWatch r="G47314"/>
    <cellWatch r="G47315"/>
    <cellWatch r="G47316"/>
    <cellWatch r="G47317"/>
    <cellWatch r="G47318"/>
    <cellWatch r="G47319"/>
    <cellWatch r="G47320"/>
    <cellWatch r="G47321"/>
    <cellWatch r="G47322"/>
    <cellWatch r="G47323"/>
    <cellWatch r="G47324"/>
    <cellWatch r="G47325"/>
    <cellWatch r="G47326"/>
    <cellWatch r="G47327"/>
    <cellWatch r="G47328"/>
    <cellWatch r="G47329"/>
    <cellWatch r="G47330"/>
    <cellWatch r="G47331"/>
    <cellWatch r="G47332"/>
    <cellWatch r="G47333"/>
    <cellWatch r="G47334"/>
    <cellWatch r="G47335"/>
    <cellWatch r="G47336"/>
    <cellWatch r="G47337"/>
    <cellWatch r="G47338"/>
    <cellWatch r="G47339"/>
    <cellWatch r="G47340"/>
    <cellWatch r="G47341"/>
    <cellWatch r="G47342"/>
    <cellWatch r="G47343"/>
    <cellWatch r="G47344"/>
    <cellWatch r="G47345"/>
    <cellWatch r="G47346"/>
    <cellWatch r="G47347"/>
    <cellWatch r="G47348"/>
    <cellWatch r="G47349"/>
    <cellWatch r="G47350"/>
    <cellWatch r="G47351"/>
    <cellWatch r="G47352"/>
    <cellWatch r="G47353"/>
    <cellWatch r="G47354"/>
    <cellWatch r="G47355"/>
    <cellWatch r="G47356"/>
    <cellWatch r="G47357"/>
    <cellWatch r="G47358"/>
    <cellWatch r="G47359"/>
    <cellWatch r="G47360"/>
    <cellWatch r="G47361"/>
    <cellWatch r="G47362"/>
    <cellWatch r="G47363"/>
    <cellWatch r="G47364"/>
    <cellWatch r="G47365"/>
    <cellWatch r="G47366"/>
    <cellWatch r="G47367"/>
    <cellWatch r="G47368"/>
    <cellWatch r="G47369"/>
    <cellWatch r="G47370"/>
    <cellWatch r="G47371"/>
    <cellWatch r="G47372"/>
    <cellWatch r="G47373"/>
    <cellWatch r="G47374"/>
    <cellWatch r="G47375"/>
    <cellWatch r="G47376"/>
    <cellWatch r="G47377"/>
    <cellWatch r="G47378"/>
    <cellWatch r="G47379"/>
    <cellWatch r="G47380"/>
    <cellWatch r="G47381"/>
    <cellWatch r="G47382"/>
    <cellWatch r="G47383"/>
    <cellWatch r="G47384"/>
    <cellWatch r="G47385"/>
    <cellWatch r="G47386"/>
    <cellWatch r="G47387"/>
    <cellWatch r="G47388"/>
    <cellWatch r="G47389"/>
    <cellWatch r="G47390"/>
    <cellWatch r="G47391"/>
    <cellWatch r="G47392"/>
    <cellWatch r="G47393"/>
    <cellWatch r="G47394"/>
    <cellWatch r="G47395"/>
    <cellWatch r="G47396"/>
    <cellWatch r="G47397"/>
    <cellWatch r="G47398"/>
    <cellWatch r="G47399"/>
    <cellWatch r="G47400"/>
    <cellWatch r="G47401"/>
    <cellWatch r="G47402"/>
    <cellWatch r="G47403"/>
    <cellWatch r="G47404"/>
    <cellWatch r="G47405"/>
    <cellWatch r="G47406"/>
    <cellWatch r="G47407"/>
    <cellWatch r="G47408"/>
    <cellWatch r="G47409"/>
    <cellWatch r="G47410"/>
    <cellWatch r="G47411"/>
    <cellWatch r="G47412"/>
    <cellWatch r="G47413"/>
    <cellWatch r="G47414"/>
    <cellWatch r="G47415"/>
    <cellWatch r="G47416"/>
    <cellWatch r="G47417"/>
    <cellWatch r="G47418"/>
    <cellWatch r="G47419"/>
    <cellWatch r="G47420"/>
    <cellWatch r="G47421"/>
    <cellWatch r="G47422"/>
    <cellWatch r="G47423"/>
    <cellWatch r="G47424"/>
    <cellWatch r="G47425"/>
    <cellWatch r="G47426"/>
    <cellWatch r="G47427"/>
    <cellWatch r="G47428"/>
    <cellWatch r="G47429"/>
    <cellWatch r="G47430"/>
    <cellWatch r="G47431"/>
    <cellWatch r="G47432"/>
    <cellWatch r="G47433"/>
    <cellWatch r="G47434"/>
    <cellWatch r="G47435"/>
    <cellWatch r="G47436"/>
    <cellWatch r="G47437"/>
    <cellWatch r="G47438"/>
    <cellWatch r="G47439"/>
    <cellWatch r="G47440"/>
    <cellWatch r="G47441"/>
    <cellWatch r="G47442"/>
    <cellWatch r="G47443"/>
    <cellWatch r="G47444"/>
    <cellWatch r="G47445"/>
    <cellWatch r="G47446"/>
    <cellWatch r="G47447"/>
    <cellWatch r="G47448"/>
    <cellWatch r="G47449"/>
    <cellWatch r="G47450"/>
    <cellWatch r="G47451"/>
    <cellWatch r="G47452"/>
    <cellWatch r="G47453"/>
    <cellWatch r="G47454"/>
    <cellWatch r="G47455"/>
    <cellWatch r="G47456"/>
    <cellWatch r="G47457"/>
    <cellWatch r="G47458"/>
    <cellWatch r="G47459"/>
    <cellWatch r="G47460"/>
    <cellWatch r="G47461"/>
    <cellWatch r="G47462"/>
    <cellWatch r="G47463"/>
    <cellWatch r="G47464"/>
    <cellWatch r="G47465"/>
    <cellWatch r="G47466"/>
    <cellWatch r="G47467"/>
    <cellWatch r="G47468"/>
    <cellWatch r="G47469"/>
    <cellWatch r="G47470"/>
    <cellWatch r="G47471"/>
    <cellWatch r="G47472"/>
    <cellWatch r="G47473"/>
    <cellWatch r="G47474"/>
    <cellWatch r="G47475"/>
    <cellWatch r="G47476"/>
    <cellWatch r="G47477"/>
    <cellWatch r="G47478"/>
    <cellWatch r="G47479"/>
    <cellWatch r="G47480"/>
    <cellWatch r="G47481"/>
    <cellWatch r="G47482"/>
    <cellWatch r="G47483"/>
    <cellWatch r="G47484"/>
    <cellWatch r="G47485"/>
    <cellWatch r="G47486"/>
    <cellWatch r="G47487"/>
    <cellWatch r="G47488"/>
    <cellWatch r="G47489"/>
    <cellWatch r="G47490"/>
    <cellWatch r="G47491"/>
    <cellWatch r="G47492"/>
    <cellWatch r="G47493"/>
    <cellWatch r="G47494"/>
    <cellWatch r="G47495"/>
    <cellWatch r="G47496"/>
    <cellWatch r="G47497"/>
    <cellWatch r="G47498"/>
    <cellWatch r="G47499"/>
    <cellWatch r="G47500"/>
    <cellWatch r="G47501"/>
    <cellWatch r="G47502"/>
    <cellWatch r="G47503"/>
    <cellWatch r="G47504"/>
    <cellWatch r="G47505"/>
    <cellWatch r="G47506"/>
    <cellWatch r="G47507"/>
    <cellWatch r="G47508"/>
    <cellWatch r="G47509"/>
    <cellWatch r="G47510"/>
    <cellWatch r="G47511"/>
    <cellWatch r="G47512"/>
    <cellWatch r="G47513"/>
    <cellWatch r="G47514"/>
    <cellWatch r="G47515"/>
    <cellWatch r="G47516"/>
    <cellWatch r="G47517"/>
    <cellWatch r="G47518"/>
    <cellWatch r="G47519"/>
    <cellWatch r="G47520"/>
    <cellWatch r="G47521"/>
    <cellWatch r="G47522"/>
    <cellWatch r="G47523"/>
    <cellWatch r="G47524"/>
    <cellWatch r="G47525"/>
    <cellWatch r="G47526"/>
    <cellWatch r="G47527"/>
    <cellWatch r="G47528"/>
    <cellWatch r="G47529"/>
    <cellWatch r="G47530"/>
    <cellWatch r="G47531"/>
    <cellWatch r="G47532"/>
    <cellWatch r="G47533"/>
    <cellWatch r="G47534"/>
    <cellWatch r="G47535"/>
    <cellWatch r="G47536"/>
    <cellWatch r="G47537"/>
    <cellWatch r="G47538"/>
    <cellWatch r="G47539"/>
    <cellWatch r="G47540"/>
    <cellWatch r="G47541"/>
    <cellWatch r="G47542"/>
    <cellWatch r="G47543"/>
    <cellWatch r="G47544"/>
    <cellWatch r="G47545"/>
    <cellWatch r="G47546"/>
    <cellWatch r="G47547"/>
    <cellWatch r="G47548"/>
    <cellWatch r="G47549"/>
    <cellWatch r="G47550"/>
    <cellWatch r="G47551"/>
    <cellWatch r="G47552"/>
    <cellWatch r="G47553"/>
    <cellWatch r="G47554"/>
    <cellWatch r="G47555"/>
    <cellWatch r="G47556"/>
    <cellWatch r="G47557"/>
    <cellWatch r="G47558"/>
    <cellWatch r="G47559"/>
    <cellWatch r="G47560"/>
    <cellWatch r="G47561"/>
    <cellWatch r="G47562"/>
    <cellWatch r="G47563"/>
    <cellWatch r="G47564"/>
    <cellWatch r="G47565"/>
    <cellWatch r="G47566"/>
    <cellWatch r="G47567"/>
    <cellWatch r="G47568"/>
    <cellWatch r="G47569"/>
    <cellWatch r="G47570"/>
    <cellWatch r="G47571"/>
    <cellWatch r="G47572"/>
    <cellWatch r="G47573"/>
    <cellWatch r="G47574"/>
    <cellWatch r="G47575"/>
    <cellWatch r="G47576"/>
    <cellWatch r="G47577"/>
    <cellWatch r="G47578"/>
    <cellWatch r="G47579"/>
    <cellWatch r="G47580"/>
    <cellWatch r="G47581"/>
    <cellWatch r="G47582"/>
    <cellWatch r="G47583"/>
    <cellWatch r="G47584"/>
    <cellWatch r="G47585"/>
    <cellWatch r="G47586"/>
    <cellWatch r="G47587"/>
    <cellWatch r="G47588"/>
    <cellWatch r="G47589"/>
    <cellWatch r="G47590"/>
    <cellWatch r="G47591"/>
    <cellWatch r="G47592"/>
    <cellWatch r="G47593"/>
    <cellWatch r="G47594"/>
    <cellWatch r="G47595"/>
    <cellWatch r="G47596"/>
    <cellWatch r="G47597"/>
    <cellWatch r="G47598"/>
    <cellWatch r="G47599"/>
    <cellWatch r="G47600"/>
    <cellWatch r="G47601"/>
    <cellWatch r="G47602"/>
    <cellWatch r="G47603"/>
    <cellWatch r="G47604"/>
    <cellWatch r="G47605"/>
    <cellWatch r="G47606"/>
    <cellWatch r="G47607"/>
    <cellWatch r="G47608"/>
    <cellWatch r="G47609"/>
    <cellWatch r="G47610"/>
    <cellWatch r="G47611"/>
    <cellWatch r="G47612"/>
    <cellWatch r="G47613"/>
    <cellWatch r="G47614"/>
    <cellWatch r="G47615"/>
    <cellWatch r="G47616"/>
    <cellWatch r="G47617"/>
    <cellWatch r="G47618"/>
    <cellWatch r="G47619"/>
    <cellWatch r="G47620"/>
    <cellWatch r="G47621"/>
    <cellWatch r="G47622"/>
    <cellWatch r="G47623"/>
    <cellWatch r="G47624"/>
    <cellWatch r="G47625"/>
    <cellWatch r="G47626"/>
    <cellWatch r="G47627"/>
    <cellWatch r="G47628"/>
    <cellWatch r="G47629"/>
    <cellWatch r="G47630"/>
    <cellWatch r="G47631"/>
    <cellWatch r="G47632"/>
    <cellWatch r="G47633"/>
    <cellWatch r="G47634"/>
    <cellWatch r="G47635"/>
    <cellWatch r="G47636"/>
    <cellWatch r="G47637"/>
    <cellWatch r="G47638"/>
    <cellWatch r="G47639"/>
    <cellWatch r="G47640"/>
    <cellWatch r="G47641"/>
    <cellWatch r="G47642"/>
    <cellWatch r="G47643"/>
    <cellWatch r="G47644"/>
    <cellWatch r="G47645"/>
    <cellWatch r="G47646"/>
    <cellWatch r="G47647"/>
    <cellWatch r="G47648"/>
    <cellWatch r="G47649"/>
    <cellWatch r="G47650"/>
    <cellWatch r="G47651"/>
    <cellWatch r="G47652"/>
    <cellWatch r="G47653"/>
    <cellWatch r="G47654"/>
    <cellWatch r="G47655"/>
    <cellWatch r="G47656"/>
    <cellWatch r="G47657"/>
    <cellWatch r="G47658"/>
    <cellWatch r="G47659"/>
    <cellWatch r="G47660"/>
    <cellWatch r="G47661"/>
    <cellWatch r="G47662"/>
    <cellWatch r="G47663"/>
    <cellWatch r="G47664"/>
    <cellWatch r="G47665"/>
    <cellWatch r="G47666"/>
    <cellWatch r="G47667"/>
    <cellWatch r="G47668"/>
    <cellWatch r="G47669"/>
    <cellWatch r="G47670"/>
    <cellWatch r="G47671"/>
    <cellWatch r="G47672"/>
    <cellWatch r="G47673"/>
    <cellWatch r="G47674"/>
    <cellWatch r="G47675"/>
    <cellWatch r="G47676"/>
    <cellWatch r="G47677"/>
    <cellWatch r="G47678"/>
    <cellWatch r="G47679"/>
    <cellWatch r="G47680"/>
    <cellWatch r="G47681"/>
    <cellWatch r="G47682"/>
    <cellWatch r="G47683"/>
    <cellWatch r="G47684"/>
    <cellWatch r="G47685"/>
    <cellWatch r="G47686"/>
    <cellWatch r="G47687"/>
    <cellWatch r="G47688"/>
    <cellWatch r="G47689"/>
    <cellWatch r="G47690"/>
    <cellWatch r="G47691"/>
    <cellWatch r="G47692"/>
    <cellWatch r="G47693"/>
    <cellWatch r="G47694"/>
    <cellWatch r="G47695"/>
    <cellWatch r="G47696"/>
    <cellWatch r="G47697"/>
    <cellWatch r="G47698"/>
    <cellWatch r="G47699"/>
    <cellWatch r="G47700"/>
    <cellWatch r="G47701"/>
    <cellWatch r="G47702"/>
    <cellWatch r="G47703"/>
    <cellWatch r="G47704"/>
    <cellWatch r="G47705"/>
    <cellWatch r="G47706"/>
    <cellWatch r="G47707"/>
    <cellWatch r="G47708"/>
    <cellWatch r="G47709"/>
    <cellWatch r="G47710"/>
    <cellWatch r="G47711"/>
    <cellWatch r="G47712"/>
    <cellWatch r="G47713"/>
    <cellWatch r="G47714"/>
    <cellWatch r="G47715"/>
    <cellWatch r="G47716"/>
    <cellWatch r="G47717"/>
    <cellWatch r="G47718"/>
    <cellWatch r="G47719"/>
    <cellWatch r="G47720"/>
    <cellWatch r="G47721"/>
    <cellWatch r="G47722"/>
    <cellWatch r="G47723"/>
    <cellWatch r="G47724"/>
    <cellWatch r="G47725"/>
    <cellWatch r="G47726"/>
    <cellWatch r="G47727"/>
    <cellWatch r="G47728"/>
    <cellWatch r="G47729"/>
    <cellWatch r="G47730"/>
    <cellWatch r="G47731"/>
    <cellWatch r="G47732"/>
    <cellWatch r="G47733"/>
    <cellWatch r="G47734"/>
    <cellWatch r="G47735"/>
    <cellWatch r="G47736"/>
    <cellWatch r="G47737"/>
    <cellWatch r="G47738"/>
    <cellWatch r="G47739"/>
    <cellWatch r="G47740"/>
    <cellWatch r="G47741"/>
    <cellWatch r="G47742"/>
    <cellWatch r="G47743"/>
    <cellWatch r="G47744"/>
    <cellWatch r="G47745"/>
    <cellWatch r="G47746"/>
    <cellWatch r="G47747"/>
    <cellWatch r="G47748"/>
    <cellWatch r="G47749"/>
    <cellWatch r="G47750"/>
    <cellWatch r="G47751"/>
    <cellWatch r="G47752"/>
    <cellWatch r="G47753"/>
    <cellWatch r="G47754"/>
    <cellWatch r="G47755"/>
    <cellWatch r="G47756"/>
    <cellWatch r="G47757"/>
    <cellWatch r="G47758"/>
    <cellWatch r="G47759"/>
    <cellWatch r="G47760"/>
    <cellWatch r="G47761"/>
    <cellWatch r="G47762"/>
    <cellWatch r="G47763"/>
    <cellWatch r="G47764"/>
    <cellWatch r="G47765"/>
    <cellWatch r="G47766"/>
    <cellWatch r="G47767"/>
    <cellWatch r="G47768"/>
    <cellWatch r="G47769"/>
    <cellWatch r="G47770"/>
    <cellWatch r="G47771"/>
    <cellWatch r="G47772"/>
    <cellWatch r="G47773"/>
    <cellWatch r="G47774"/>
    <cellWatch r="G47775"/>
    <cellWatch r="G47776"/>
    <cellWatch r="G47777"/>
    <cellWatch r="G47778"/>
    <cellWatch r="G47779"/>
    <cellWatch r="G47780"/>
    <cellWatch r="G47781"/>
    <cellWatch r="G47782"/>
    <cellWatch r="G47783"/>
    <cellWatch r="G47784"/>
    <cellWatch r="G47785"/>
    <cellWatch r="G47786"/>
    <cellWatch r="G47787"/>
    <cellWatch r="G47788"/>
    <cellWatch r="G47789"/>
    <cellWatch r="G47790"/>
    <cellWatch r="G47791"/>
    <cellWatch r="G47792"/>
    <cellWatch r="G47793"/>
    <cellWatch r="G47794"/>
    <cellWatch r="G47795"/>
    <cellWatch r="G47796"/>
    <cellWatch r="G47797"/>
    <cellWatch r="G47798"/>
    <cellWatch r="G47799"/>
    <cellWatch r="G47800"/>
    <cellWatch r="G47801"/>
    <cellWatch r="G47802"/>
    <cellWatch r="G47803"/>
    <cellWatch r="G47804"/>
    <cellWatch r="G47805"/>
    <cellWatch r="G47806"/>
    <cellWatch r="G47807"/>
    <cellWatch r="G47808"/>
    <cellWatch r="G47809"/>
    <cellWatch r="G47810"/>
    <cellWatch r="G47811"/>
    <cellWatch r="G47812"/>
    <cellWatch r="G47813"/>
    <cellWatch r="G47814"/>
    <cellWatch r="G47815"/>
    <cellWatch r="G47816"/>
    <cellWatch r="G47817"/>
    <cellWatch r="G47818"/>
    <cellWatch r="G47819"/>
    <cellWatch r="G47820"/>
    <cellWatch r="G47821"/>
    <cellWatch r="G47822"/>
    <cellWatch r="G47823"/>
    <cellWatch r="G47824"/>
    <cellWatch r="G47825"/>
    <cellWatch r="G47826"/>
    <cellWatch r="G47827"/>
    <cellWatch r="G47828"/>
    <cellWatch r="G47829"/>
    <cellWatch r="G47830"/>
    <cellWatch r="G47831"/>
    <cellWatch r="G47832"/>
    <cellWatch r="G47833"/>
    <cellWatch r="G47834"/>
    <cellWatch r="G47835"/>
    <cellWatch r="G47836"/>
    <cellWatch r="G47837"/>
    <cellWatch r="G47838"/>
    <cellWatch r="G47839"/>
    <cellWatch r="G47840"/>
    <cellWatch r="G47841"/>
    <cellWatch r="G47842"/>
    <cellWatch r="G47843"/>
    <cellWatch r="G47844"/>
    <cellWatch r="G47845"/>
    <cellWatch r="G47846"/>
    <cellWatch r="G47847"/>
    <cellWatch r="G47848"/>
    <cellWatch r="G47849"/>
    <cellWatch r="G47850"/>
    <cellWatch r="G47851"/>
    <cellWatch r="G47852"/>
    <cellWatch r="G47853"/>
    <cellWatch r="G47854"/>
    <cellWatch r="G47855"/>
    <cellWatch r="G47856"/>
    <cellWatch r="G47857"/>
    <cellWatch r="G47858"/>
    <cellWatch r="G47859"/>
    <cellWatch r="G47860"/>
    <cellWatch r="G47861"/>
    <cellWatch r="G47862"/>
    <cellWatch r="G47863"/>
    <cellWatch r="G47864"/>
    <cellWatch r="G47865"/>
    <cellWatch r="G47866"/>
    <cellWatch r="G47867"/>
    <cellWatch r="G47868"/>
    <cellWatch r="G47869"/>
    <cellWatch r="G47870"/>
    <cellWatch r="G47871"/>
    <cellWatch r="G47872"/>
    <cellWatch r="G47873"/>
    <cellWatch r="G47874"/>
    <cellWatch r="G47875"/>
    <cellWatch r="G47876"/>
    <cellWatch r="G47877"/>
    <cellWatch r="G47878"/>
    <cellWatch r="G47879"/>
    <cellWatch r="G47880"/>
    <cellWatch r="G47881"/>
    <cellWatch r="G47882"/>
    <cellWatch r="G47883"/>
    <cellWatch r="G47884"/>
    <cellWatch r="G47885"/>
    <cellWatch r="G47886"/>
    <cellWatch r="G47887"/>
    <cellWatch r="G47888"/>
    <cellWatch r="G47889"/>
    <cellWatch r="G47890"/>
    <cellWatch r="G47891"/>
    <cellWatch r="G47892"/>
    <cellWatch r="G47893"/>
    <cellWatch r="G47894"/>
    <cellWatch r="G47895"/>
    <cellWatch r="G47896"/>
    <cellWatch r="G47897"/>
    <cellWatch r="G47898"/>
    <cellWatch r="G47899"/>
    <cellWatch r="G47900"/>
    <cellWatch r="G47901"/>
    <cellWatch r="G47902"/>
    <cellWatch r="G47903"/>
    <cellWatch r="G47904"/>
    <cellWatch r="G47905"/>
    <cellWatch r="G47906"/>
    <cellWatch r="G47907"/>
    <cellWatch r="G47908"/>
    <cellWatch r="G47909"/>
    <cellWatch r="G47910"/>
    <cellWatch r="G47911"/>
    <cellWatch r="G47912"/>
    <cellWatch r="G47913"/>
    <cellWatch r="G47914"/>
    <cellWatch r="G47915"/>
    <cellWatch r="G47916"/>
    <cellWatch r="G47917"/>
    <cellWatch r="G47918"/>
    <cellWatch r="G47919"/>
    <cellWatch r="G47920"/>
    <cellWatch r="G47921"/>
    <cellWatch r="G47922"/>
    <cellWatch r="G47923"/>
    <cellWatch r="G47924"/>
    <cellWatch r="G47925"/>
    <cellWatch r="G47926"/>
    <cellWatch r="G47927"/>
    <cellWatch r="G47928"/>
    <cellWatch r="G47929"/>
    <cellWatch r="G47930"/>
    <cellWatch r="G47931"/>
    <cellWatch r="G47932"/>
    <cellWatch r="G47933"/>
    <cellWatch r="G47934"/>
    <cellWatch r="G47935"/>
    <cellWatch r="G47936"/>
    <cellWatch r="G47937"/>
    <cellWatch r="G47938"/>
    <cellWatch r="G47939"/>
    <cellWatch r="G47940"/>
    <cellWatch r="G47941"/>
    <cellWatch r="G47942"/>
    <cellWatch r="G47943"/>
    <cellWatch r="G47944"/>
    <cellWatch r="G47945"/>
    <cellWatch r="G47946"/>
    <cellWatch r="G47947"/>
    <cellWatch r="G47948"/>
    <cellWatch r="G47949"/>
    <cellWatch r="G47950"/>
    <cellWatch r="G47951"/>
    <cellWatch r="G47952"/>
    <cellWatch r="G47953"/>
    <cellWatch r="G47954"/>
    <cellWatch r="G47955"/>
    <cellWatch r="G47956"/>
    <cellWatch r="G47957"/>
    <cellWatch r="G47958"/>
    <cellWatch r="G47959"/>
    <cellWatch r="G47960"/>
    <cellWatch r="G47961"/>
    <cellWatch r="G47962"/>
    <cellWatch r="G47963"/>
    <cellWatch r="G47964"/>
    <cellWatch r="G47965"/>
    <cellWatch r="G47966"/>
    <cellWatch r="G47967"/>
    <cellWatch r="G47968"/>
    <cellWatch r="G47969"/>
    <cellWatch r="G47970"/>
    <cellWatch r="G47971"/>
    <cellWatch r="G47972"/>
    <cellWatch r="G47973"/>
    <cellWatch r="G47974"/>
    <cellWatch r="G47975"/>
    <cellWatch r="G47976"/>
    <cellWatch r="G47977"/>
    <cellWatch r="G47978"/>
    <cellWatch r="G47979"/>
    <cellWatch r="G47980"/>
    <cellWatch r="G47981"/>
    <cellWatch r="G47982"/>
    <cellWatch r="G47983"/>
    <cellWatch r="G47984"/>
    <cellWatch r="G47985"/>
    <cellWatch r="G47986"/>
    <cellWatch r="G47987"/>
    <cellWatch r="G47988"/>
    <cellWatch r="G47989"/>
    <cellWatch r="G47990"/>
    <cellWatch r="G47991"/>
    <cellWatch r="G47992"/>
    <cellWatch r="G47993"/>
    <cellWatch r="G47994"/>
    <cellWatch r="G47995"/>
    <cellWatch r="G47996"/>
    <cellWatch r="G47997"/>
    <cellWatch r="G47998"/>
    <cellWatch r="G47999"/>
    <cellWatch r="G48000"/>
    <cellWatch r="G48001"/>
    <cellWatch r="G48002"/>
    <cellWatch r="G48003"/>
    <cellWatch r="G48004"/>
    <cellWatch r="G48005"/>
    <cellWatch r="G48006"/>
    <cellWatch r="G48007"/>
    <cellWatch r="G48008"/>
    <cellWatch r="G48009"/>
    <cellWatch r="G48010"/>
    <cellWatch r="G48011"/>
    <cellWatch r="G48012"/>
    <cellWatch r="G48013"/>
    <cellWatch r="G48014"/>
    <cellWatch r="G48015"/>
    <cellWatch r="G48016"/>
    <cellWatch r="G48017"/>
    <cellWatch r="G48018"/>
    <cellWatch r="G48019"/>
    <cellWatch r="G48020"/>
    <cellWatch r="G48021"/>
    <cellWatch r="G48022"/>
    <cellWatch r="G48023"/>
    <cellWatch r="G48024"/>
    <cellWatch r="G48025"/>
    <cellWatch r="G48026"/>
    <cellWatch r="G48027"/>
    <cellWatch r="G48028"/>
    <cellWatch r="G48029"/>
    <cellWatch r="G48030"/>
    <cellWatch r="G48031"/>
    <cellWatch r="G48032"/>
    <cellWatch r="G48033"/>
    <cellWatch r="G48034"/>
    <cellWatch r="G48035"/>
    <cellWatch r="G48036"/>
    <cellWatch r="G48037"/>
    <cellWatch r="G48038"/>
    <cellWatch r="G48039"/>
    <cellWatch r="G48040"/>
    <cellWatch r="G48041"/>
    <cellWatch r="G48042"/>
    <cellWatch r="G48043"/>
    <cellWatch r="G48044"/>
    <cellWatch r="G48045"/>
    <cellWatch r="G48046"/>
    <cellWatch r="G48047"/>
    <cellWatch r="G48048"/>
    <cellWatch r="G48049"/>
    <cellWatch r="G48050"/>
    <cellWatch r="G48051"/>
    <cellWatch r="G48052"/>
    <cellWatch r="G48053"/>
    <cellWatch r="G48054"/>
    <cellWatch r="G48055"/>
    <cellWatch r="G48056"/>
    <cellWatch r="G48057"/>
    <cellWatch r="G48058"/>
    <cellWatch r="G48059"/>
    <cellWatch r="G48060"/>
    <cellWatch r="G48061"/>
    <cellWatch r="G48062"/>
    <cellWatch r="G48063"/>
    <cellWatch r="G48064"/>
    <cellWatch r="G48065"/>
    <cellWatch r="G48066"/>
    <cellWatch r="G48067"/>
    <cellWatch r="G48068"/>
    <cellWatch r="G48069"/>
    <cellWatch r="G48070"/>
    <cellWatch r="G48071"/>
    <cellWatch r="G48072"/>
    <cellWatch r="G48073"/>
    <cellWatch r="G48074"/>
    <cellWatch r="G48075"/>
    <cellWatch r="G48076"/>
    <cellWatch r="G48077"/>
    <cellWatch r="G48078"/>
    <cellWatch r="G48079"/>
    <cellWatch r="G48080"/>
    <cellWatch r="G48081"/>
    <cellWatch r="G48082"/>
    <cellWatch r="G48083"/>
    <cellWatch r="G48084"/>
    <cellWatch r="G48085"/>
    <cellWatch r="G48086"/>
    <cellWatch r="G48087"/>
    <cellWatch r="G48088"/>
    <cellWatch r="G48089"/>
    <cellWatch r="G48090"/>
    <cellWatch r="G48091"/>
    <cellWatch r="G48092"/>
    <cellWatch r="G48093"/>
    <cellWatch r="G48094"/>
    <cellWatch r="G48095"/>
    <cellWatch r="G48096"/>
    <cellWatch r="G48097"/>
    <cellWatch r="G48098"/>
    <cellWatch r="G48099"/>
    <cellWatch r="G48100"/>
    <cellWatch r="G48101"/>
    <cellWatch r="G48102"/>
    <cellWatch r="G48103"/>
    <cellWatch r="G48104"/>
    <cellWatch r="G48105"/>
    <cellWatch r="G48106"/>
    <cellWatch r="G48107"/>
    <cellWatch r="G48108"/>
    <cellWatch r="G48109"/>
    <cellWatch r="G48110"/>
    <cellWatch r="G48111"/>
    <cellWatch r="G48112"/>
    <cellWatch r="G48113"/>
    <cellWatch r="G48114"/>
    <cellWatch r="G48115"/>
    <cellWatch r="G48116"/>
    <cellWatch r="G48117"/>
    <cellWatch r="G48118"/>
    <cellWatch r="G48119"/>
    <cellWatch r="G48120"/>
    <cellWatch r="G48121"/>
    <cellWatch r="G48122"/>
    <cellWatch r="G48123"/>
    <cellWatch r="G48124"/>
    <cellWatch r="G48125"/>
    <cellWatch r="G48126"/>
    <cellWatch r="G48127"/>
    <cellWatch r="G48128"/>
    <cellWatch r="G48129"/>
    <cellWatch r="G48130"/>
    <cellWatch r="G48131"/>
    <cellWatch r="G48132"/>
    <cellWatch r="G48133"/>
    <cellWatch r="G48134"/>
    <cellWatch r="G48135"/>
    <cellWatch r="G48136"/>
    <cellWatch r="G48137"/>
    <cellWatch r="G48138"/>
    <cellWatch r="G48139"/>
    <cellWatch r="G48140"/>
    <cellWatch r="G48141"/>
    <cellWatch r="G48142"/>
    <cellWatch r="G48143"/>
    <cellWatch r="G48144"/>
    <cellWatch r="G48145"/>
    <cellWatch r="G48146"/>
    <cellWatch r="G48147"/>
    <cellWatch r="G48148"/>
    <cellWatch r="G48149"/>
    <cellWatch r="G48150"/>
    <cellWatch r="G48151"/>
    <cellWatch r="G48152"/>
    <cellWatch r="G48153"/>
    <cellWatch r="G48154"/>
    <cellWatch r="G48155"/>
    <cellWatch r="G48156"/>
    <cellWatch r="G48157"/>
    <cellWatch r="G48158"/>
    <cellWatch r="G48159"/>
    <cellWatch r="G48160"/>
    <cellWatch r="G48161"/>
    <cellWatch r="G48162"/>
    <cellWatch r="G48163"/>
    <cellWatch r="G48164"/>
    <cellWatch r="G48165"/>
    <cellWatch r="G48166"/>
    <cellWatch r="G48167"/>
    <cellWatch r="G48168"/>
    <cellWatch r="G48169"/>
    <cellWatch r="G48170"/>
    <cellWatch r="G48171"/>
    <cellWatch r="G48172"/>
    <cellWatch r="G48173"/>
    <cellWatch r="G48174"/>
    <cellWatch r="G48175"/>
    <cellWatch r="G48176"/>
    <cellWatch r="G48177"/>
    <cellWatch r="G48178"/>
    <cellWatch r="G48179"/>
    <cellWatch r="G48180"/>
    <cellWatch r="G48181"/>
    <cellWatch r="G48182"/>
    <cellWatch r="G48183"/>
    <cellWatch r="G48184"/>
    <cellWatch r="G48185"/>
    <cellWatch r="G48186"/>
    <cellWatch r="G48187"/>
    <cellWatch r="G48188"/>
    <cellWatch r="G48189"/>
    <cellWatch r="G48190"/>
    <cellWatch r="G48191"/>
    <cellWatch r="G48192"/>
    <cellWatch r="G48193"/>
    <cellWatch r="G48194"/>
    <cellWatch r="G48195"/>
    <cellWatch r="G48196"/>
    <cellWatch r="G48197"/>
    <cellWatch r="G48198"/>
    <cellWatch r="G48199"/>
    <cellWatch r="G48200"/>
    <cellWatch r="G48201"/>
    <cellWatch r="G48202"/>
    <cellWatch r="G48203"/>
    <cellWatch r="G48204"/>
    <cellWatch r="G48205"/>
    <cellWatch r="G48206"/>
    <cellWatch r="G48207"/>
    <cellWatch r="G48208"/>
    <cellWatch r="G48209"/>
    <cellWatch r="G48210"/>
    <cellWatch r="G48211"/>
    <cellWatch r="G48212"/>
    <cellWatch r="G48213"/>
    <cellWatch r="G48214"/>
    <cellWatch r="G48215"/>
    <cellWatch r="G48216"/>
    <cellWatch r="G48217"/>
    <cellWatch r="G48218"/>
    <cellWatch r="G48219"/>
    <cellWatch r="G48220"/>
    <cellWatch r="G48221"/>
    <cellWatch r="G48222"/>
    <cellWatch r="G48223"/>
    <cellWatch r="G48224"/>
    <cellWatch r="G48225"/>
    <cellWatch r="G48226"/>
    <cellWatch r="G48227"/>
    <cellWatch r="G48228"/>
    <cellWatch r="G48229"/>
    <cellWatch r="G48230"/>
    <cellWatch r="G48231"/>
    <cellWatch r="G48232"/>
    <cellWatch r="G48233"/>
    <cellWatch r="G48234"/>
    <cellWatch r="G48235"/>
    <cellWatch r="G48236"/>
    <cellWatch r="G48237"/>
    <cellWatch r="G48238"/>
    <cellWatch r="G48239"/>
    <cellWatch r="G48240"/>
    <cellWatch r="G48241"/>
    <cellWatch r="G48242"/>
    <cellWatch r="G48243"/>
    <cellWatch r="G48244"/>
    <cellWatch r="G48245"/>
    <cellWatch r="G48246"/>
    <cellWatch r="G48247"/>
    <cellWatch r="G48248"/>
    <cellWatch r="G48249"/>
    <cellWatch r="G48250"/>
    <cellWatch r="G48251"/>
    <cellWatch r="G48252"/>
    <cellWatch r="G48253"/>
    <cellWatch r="G48254"/>
    <cellWatch r="G48255"/>
    <cellWatch r="G48256"/>
    <cellWatch r="G48257"/>
    <cellWatch r="G48258"/>
    <cellWatch r="G48259"/>
    <cellWatch r="G48260"/>
    <cellWatch r="G48261"/>
    <cellWatch r="G48262"/>
    <cellWatch r="G48263"/>
    <cellWatch r="G48264"/>
    <cellWatch r="G48265"/>
    <cellWatch r="G48266"/>
    <cellWatch r="G48267"/>
    <cellWatch r="G48268"/>
    <cellWatch r="G48269"/>
    <cellWatch r="G48270"/>
    <cellWatch r="G48271"/>
    <cellWatch r="G48272"/>
    <cellWatch r="G48273"/>
    <cellWatch r="G48274"/>
    <cellWatch r="G48275"/>
    <cellWatch r="G48276"/>
    <cellWatch r="G48277"/>
    <cellWatch r="G48278"/>
    <cellWatch r="G48279"/>
    <cellWatch r="G48280"/>
    <cellWatch r="G48281"/>
    <cellWatch r="G48282"/>
    <cellWatch r="G48283"/>
    <cellWatch r="G48284"/>
    <cellWatch r="G48285"/>
    <cellWatch r="G48286"/>
    <cellWatch r="G48287"/>
    <cellWatch r="G48288"/>
    <cellWatch r="G48289"/>
    <cellWatch r="G48290"/>
    <cellWatch r="G48291"/>
    <cellWatch r="G48292"/>
    <cellWatch r="G48293"/>
    <cellWatch r="G48294"/>
    <cellWatch r="G48295"/>
    <cellWatch r="G48296"/>
    <cellWatch r="G48297"/>
    <cellWatch r="G48298"/>
    <cellWatch r="G48299"/>
    <cellWatch r="G48300"/>
    <cellWatch r="G48301"/>
    <cellWatch r="G48302"/>
    <cellWatch r="G48303"/>
    <cellWatch r="G48304"/>
    <cellWatch r="G48305"/>
    <cellWatch r="G48306"/>
    <cellWatch r="G48307"/>
    <cellWatch r="G48308"/>
    <cellWatch r="G48309"/>
    <cellWatch r="G48310"/>
    <cellWatch r="G48311"/>
    <cellWatch r="G48312"/>
    <cellWatch r="G48313"/>
    <cellWatch r="G48314"/>
    <cellWatch r="G48315"/>
    <cellWatch r="G48316"/>
    <cellWatch r="G48317"/>
    <cellWatch r="G48318"/>
    <cellWatch r="G48319"/>
    <cellWatch r="G48320"/>
    <cellWatch r="G48321"/>
    <cellWatch r="G48322"/>
    <cellWatch r="G48323"/>
    <cellWatch r="G48324"/>
    <cellWatch r="G48325"/>
    <cellWatch r="G48326"/>
    <cellWatch r="G48327"/>
    <cellWatch r="G48328"/>
    <cellWatch r="G48329"/>
    <cellWatch r="G48330"/>
    <cellWatch r="G48331"/>
    <cellWatch r="G48332"/>
    <cellWatch r="G48333"/>
    <cellWatch r="G48334"/>
    <cellWatch r="G48335"/>
    <cellWatch r="G48336"/>
    <cellWatch r="G48337"/>
    <cellWatch r="G48338"/>
    <cellWatch r="G48339"/>
    <cellWatch r="G48340"/>
    <cellWatch r="G48341"/>
    <cellWatch r="G48342"/>
    <cellWatch r="G48343"/>
    <cellWatch r="G48344"/>
    <cellWatch r="G48345"/>
    <cellWatch r="G48346"/>
    <cellWatch r="G48347"/>
    <cellWatch r="G48348"/>
    <cellWatch r="G48349"/>
    <cellWatch r="G48350"/>
    <cellWatch r="G48351"/>
    <cellWatch r="G48352"/>
    <cellWatch r="G48353"/>
    <cellWatch r="G48354"/>
    <cellWatch r="G48355"/>
    <cellWatch r="G48356"/>
    <cellWatch r="G48357"/>
    <cellWatch r="G48358"/>
    <cellWatch r="G48359"/>
    <cellWatch r="G48360"/>
    <cellWatch r="G48361"/>
    <cellWatch r="G48362"/>
    <cellWatch r="G48363"/>
    <cellWatch r="G48364"/>
    <cellWatch r="G48365"/>
    <cellWatch r="G48366"/>
    <cellWatch r="G48367"/>
    <cellWatch r="G48368"/>
    <cellWatch r="G48369"/>
    <cellWatch r="G48370"/>
    <cellWatch r="G48371"/>
    <cellWatch r="G48372"/>
    <cellWatch r="G48373"/>
    <cellWatch r="G48374"/>
    <cellWatch r="G48375"/>
    <cellWatch r="G48376"/>
    <cellWatch r="G48377"/>
    <cellWatch r="G48378"/>
    <cellWatch r="G48379"/>
    <cellWatch r="G48380"/>
    <cellWatch r="G48381"/>
    <cellWatch r="G48382"/>
    <cellWatch r="G48383"/>
    <cellWatch r="G48384"/>
    <cellWatch r="G48385"/>
    <cellWatch r="G48386"/>
    <cellWatch r="G48387"/>
    <cellWatch r="G48388"/>
    <cellWatch r="G48389"/>
    <cellWatch r="G48390"/>
    <cellWatch r="G48391"/>
    <cellWatch r="G48392"/>
    <cellWatch r="G48393"/>
    <cellWatch r="G48394"/>
    <cellWatch r="G48395"/>
    <cellWatch r="G48396"/>
    <cellWatch r="G48397"/>
    <cellWatch r="G48398"/>
    <cellWatch r="G48399"/>
    <cellWatch r="G48400"/>
    <cellWatch r="G48401"/>
    <cellWatch r="G48402"/>
    <cellWatch r="G48403"/>
    <cellWatch r="G48404"/>
    <cellWatch r="G48405"/>
    <cellWatch r="G48406"/>
    <cellWatch r="G48407"/>
    <cellWatch r="G48408"/>
    <cellWatch r="G48409"/>
    <cellWatch r="G48410"/>
    <cellWatch r="G48411"/>
    <cellWatch r="G48412"/>
    <cellWatch r="G48413"/>
    <cellWatch r="G48414"/>
    <cellWatch r="G48415"/>
    <cellWatch r="G48416"/>
    <cellWatch r="G48417"/>
    <cellWatch r="G48418"/>
    <cellWatch r="G48419"/>
    <cellWatch r="G48420"/>
    <cellWatch r="G48421"/>
    <cellWatch r="G48422"/>
    <cellWatch r="G48423"/>
    <cellWatch r="G48424"/>
    <cellWatch r="G48425"/>
    <cellWatch r="G48426"/>
    <cellWatch r="G48427"/>
    <cellWatch r="G48428"/>
    <cellWatch r="G48429"/>
    <cellWatch r="G48430"/>
    <cellWatch r="G48431"/>
    <cellWatch r="G48432"/>
    <cellWatch r="G48433"/>
    <cellWatch r="G48434"/>
    <cellWatch r="G48435"/>
    <cellWatch r="G48436"/>
    <cellWatch r="G48437"/>
    <cellWatch r="G48438"/>
    <cellWatch r="G48439"/>
    <cellWatch r="G48440"/>
    <cellWatch r="G48441"/>
    <cellWatch r="G48442"/>
    <cellWatch r="G48443"/>
    <cellWatch r="G48444"/>
    <cellWatch r="G48445"/>
    <cellWatch r="G48446"/>
    <cellWatch r="G48447"/>
    <cellWatch r="G48448"/>
    <cellWatch r="G48449"/>
    <cellWatch r="G48450"/>
    <cellWatch r="G48451"/>
    <cellWatch r="G48452"/>
    <cellWatch r="G48453"/>
    <cellWatch r="G48454"/>
    <cellWatch r="G48455"/>
    <cellWatch r="G48456"/>
    <cellWatch r="G48457"/>
    <cellWatch r="G48458"/>
    <cellWatch r="G48459"/>
    <cellWatch r="G48460"/>
    <cellWatch r="G48461"/>
    <cellWatch r="G48462"/>
    <cellWatch r="G48463"/>
    <cellWatch r="G48464"/>
    <cellWatch r="G48465"/>
    <cellWatch r="G48466"/>
    <cellWatch r="G48467"/>
    <cellWatch r="G48468"/>
    <cellWatch r="G48469"/>
    <cellWatch r="G48470"/>
    <cellWatch r="G48471"/>
    <cellWatch r="G48472"/>
    <cellWatch r="G48473"/>
    <cellWatch r="G48474"/>
    <cellWatch r="G48475"/>
    <cellWatch r="G48476"/>
    <cellWatch r="G48477"/>
    <cellWatch r="G48478"/>
    <cellWatch r="G48479"/>
    <cellWatch r="G48480"/>
    <cellWatch r="G48481"/>
    <cellWatch r="G48482"/>
    <cellWatch r="G48483"/>
    <cellWatch r="G48484"/>
    <cellWatch r="G48485"/>
    <cellWatch r="G48486"/>
    <cellWatch r="G48487"/>
    <cellWatch r="G48488"/>
    <cellWatch r="G48489"/>
    <cellWatch r="G48490"/>
    <cellWatch r="G48491"/>
    <cellWatch r="G48492"/>
    <cellWatch r="G48493"/>
    <cellWatch r="G48494"/>
    <cellWatch r="G48495"/>
    <cellWatch r="G48496"/>
    <cellWatch r="G48497"/>
    <cellWatch r="G48498"/>
    <cellWatch r="G48499"/>
    <cellWatch r="G48500"/>
    <cellWatch r="G48501"/>
    <cellWatch r="G48502"/>
    <cellWatch r="G48503"/>
    <cellWatch r="G48504"/>
    <cellWatch r="G48505"/>
    <cellWatch r="G48506"/>
    <cellWatch r="G48507"/>
    <cellWatch r="G48508"/>
    <cellWatch r="G48509"/>
    <cellWatch r="G48510"/>
    <cellWatch r="G48511"/>
    <cellWatch r="G48512"/>
    <cellWatch r="G48513"/>
    <cellWatch r="G48514"/>
    <cellWatch r="G48515"/>
    <cellWatch r="G48516"/>
    <cellWatch r="G48517"/>
    <cellWatch r="G48518"/>
    <cellWatch r="G48519"/>
    <cellWatch r="G48520"/>
    <cellWatch r="G48521"/>
    <cellWatch r="G48522"/>
    <cellWatch r="G48523"/>
    <cellWatch r="G48524"/>
    <cellWatch r="G48525"/>
    <cellWatch r="G48526"/>
    <cellWatch r="G48527"/>
    <cellWatch r="G48528"/>
    <cellWatch r="G48529"/>
    <cellWatch r="G48530"/>
    <cellWatch r="G48531"/>
    <cellWatch r="G48532"/>
    <cellWatch r="G48533"/>
    <cellWatch r="G48534"/>
    <cellWatch r="G48535"/>
    <cellWatch r="G48536"/>
    <cellWatch r="G48537"/>
    <cellWatch r="G48538"/>
    <cellWatch r="G48539"/>
    <cellWatch r="G48540"/>
    <cellWatch r="G48541"/>
    <cellWatch r="G48542"/>
    <cellWatch r="G48543"/>
    <cellWatch r="G48544"/>
    <cellWatch r="G48545"/>
    <cellWatch r="G48546"/>
    <cellWatch r="G48547"/>
    <cellWatch r="G48548"/>
    <cellWatch r="G48549"/>
    <cellWatch r="G48550"/>
    <cellWatch r="G48551"/>
    <cellWatch r="G48552"/>
    <cellWatch r="G48553"/>
    <cellWatch r="G48554"/>
    <cellWatch r="G48555"/>
    <cellWatch r="G48556"/>
    <cellWatch r="G48557"/>
    <cellWatch r="G48558"/>
    <cellWatch r="G48559"/>
    <cellWatch r="G48560"/>
    <cellWatch r="G48561"/>
    <cellWatch r="G48562"/>
    <cellWatch r="G48563"/>
    <cellWatch r="G48564"/>
    <cellWatch r="G48565"/>
    <cellWatch r="G48566"/>
    <cellWatch r="G48567"/>
    <cellWatch r="G48568"/>
    <cellWatch r="G48569"/>
    <cellWatch r="G48570"/>
    <cellWatch r="G48571"/>
    <cellWatch r="G48572"/>
    <cellWatch r="G48573"/>
    <cellWatch r="G48574"/>
    <cellWatch r="G48575"/>
    <cellWatch r="G48576"/>
    <cellWatch r="G48577"/>
    <cellWatch r="G48578"/>
    <cellWatch r="G48579"/>
    <cellWatch r="G48580"/>
    <cellWatch r="G48581"/>
    <cellWatch r="G48582"/>
    <cellWatch r="G48583"/>
    <cellWatch r="G48584"/>
    <cellWatch r="G48585"/>
    <cellWatch r="G48586"/>
    <cellWatch r="G48587"/>
    <cellWatch r="G48588"/>
    <cellWatch r="G48589"/>
    <cellWatch r="G48590"/>
    <cellWatch r="G48591"/>
    <cellWatch r="G48592"/>
    <cellWatch r="G48593"/>
    <cellWatch r="G48594"/>
    <cellWatch r="G48595"/>
    <cellWatch r="G48596"/>
    <cellWatch r="G48597"/>
    <cellWatch r="G48598"/>
    <cellWatch r="G48599"/>
    <cellWatch r="G48600"/>
    <cellWatch r="G48601"/>
    <cellWatch r="G48602"/>
    <cellWatch r="G48603"/>
    <cellWatch r="G48604"/>
    <cellWatch r="G48605"/>
    <cellWatch r="G48606"/>
    <cellWatch r="G48607"/>
    <cellWatch r="G48608"/>
    <cellWatch r="G48609"/>
    <cellWatch r="G48610"/>
    <cellWatch r="G48611"/>
    <cellWatch r="G48612"/>
    <cellWatch r="G48613"/>
    <cellWatch r="G48614"/>
    <cellWatch r="G48615"/>
    <cellWatch r="G48616"/>
    <cellWatch r="G48617"/>
    <cellWatch r="G48618"/>
    <cellWatch r="G48619"/>
    <cellWatch r="G48620"/>
    <cellWatch r="G48621"/>
    <cellWatch r="G48622"/>
    <cellWatch r="G48623"/>
    <cellWatch r="G48624"/>
    <cellWatch r="G48625"/>
    <cellWatch r="G48626"/>
    <cellWatch r="G48627"/>
    <cellWatch r="G48628"/>
    <cellWatch r="G48629"/>
    <cellWatch r="G48630"/>
    <cellWatch r="G48631"/>
    <cellWatch r="G48632"/>
    <cellWatch r="G48633"/>
    <cellWatch r="G48634"/>
    <cellWatch r="G48635"/>
    <cellWatch r="G48636"/>
    <cellWatch r="G48637"/>
    <cellWatch r="G48638"/>
    <cellWatch r="G48639"/>
    <cellWatch r="G48640"/>
    <cellWatch r="G48641"/>
    <cellWatch r="G48642"/>
    <cellWatch r="G48643"/>
    <cellWatch r="G48644"/>
    <cellWatch r="G48645"/>
    <cellWatch r="G48646"/>
    <cellWatch r="G48647"/>
    <cellWatch r="G48648"/>
    <cellWatch r="G48649"/>
    <cellWatch r="G48650"/>
    <cellWatch r="G48651"/>
    <cellWatch r="G48652"/>
    <cellWatch r="G48653"/>
    <cellWatch r="G48654"/>
    <cellWatch r="G48655"/>
    <cellWatch r="G48656"/>
    <cellWatch r="G48657"/>
    <cellWatch r="G48658"/>
    <cellWatch r="G48659"/>
    <cellWatch r="G48660"/>
    <cellWatch r="G48661"/>
    <cellWatch r="G48662"/>
    <cellWatch r="G48663"/>
    <cellWatch r="G48664"/>
    <cellWatch r="G48665"/>
    <cellWatch r="G48666"/>
    <cellWatch r="G48667"/>
    <cellWatch r="G48668"/>
    <cellWatch r="G48669"/>
    <cellWatch r="G48670"/>
    <cellWatch r="G48671"/>
    <cellWatch r="G48672"/>
    <cellWatch r="G48673"/>
    <cellWatch r="G48674"/>
    <cellWatch r="G48675"/>
    <cellWatch r="G48676"/>
    <cellWatch r="G48677"/>
    <cellWatch r="G48678"/>
    <cellWatch r="G48679"/>
    <cellWatch r="G48680"/>
    <cellWatch r="G48681"/>
    <cellWatch r="G48682"/>
    <cellWatch r="G48683"/>
    <cellWatch r="G48684"/>
    <cellWatch r="G48685"/>
    <cellWatch r="G48686"/>
    <cellWatch r="G48687"/>
    <cellWatch r="G48688"/>
    <cellWatch r="G48689"/>
    <cellWatch r="G48690"/>
    <cellWatch r="G48691"/>
    <cellWatch r="G48692"/>
    <cellWatch r="G48693"/>
    <cellWatch r="G48694"/>
    <cellWatch r="G48695"/>
    <cellWatch r="G48696"/>
    <cellWatch r="G48697"/>
    <cellWatch r="G48698"/>
    <cellWatch r="G48699"/>
    <cellWatch r="G48700"/>
    <cellWatch r="G48701"/>
    <cellWatch r="G48702"/>
    <cellWatch r="G48703"/>
    <cellWatch r="G48704"/>
    <cellWatch r="G48705"/>
    <cellWatch r="G48706"/>
    <cellWatch r="G48707"/>
    <cellWatch r="G48708"/>
    <cellWatch r="G48709"/>
    <cellWatch r="G48710"/>
    <cellWatch r="G48711"/>
    <cellWatch r="G48712"/>
    <cellWatch r="G48713"/>
    <cellWatch r="G48714"/>
    <cellWatch r="G48715"/>
    <cellWatch r="G48716"/>
    <cellWatch r="G48717"/>
    <cellWatch r="G48718"/>
    <cellWatch r="G48719"/>
    <cellWatch r="G48720"/>
    <cellWatch r="G48721"/>
    <cellWatch r="G48722"/>
    <cellWatch r="G48723"/>
    <cellWatch r="G48724"/>
    <cellWatch r="G48725"/>
    <cellWatch r="G48726"/>
    <cellWatch r="G48727"/>
    <cellWatch r="G48728"/>
    <cellWatch r="G48729"/>
    <cellWatch r="G48730"/>
    <cellWatch r="G48731"/>
    <cellWatch r="G48732"/>
    <cellWatch r="G48733"/>
    <cellWatch r="G48734"/>
    <cellWatch r="G48735"/>
    <cellWatch r="G48736"/>
    <cellWatch r="G48737"/>
    <cellWatch r="G48738"/>
    <cellWatch r="G48739"/>
    <cellWatch r="G48740"/>
    <cellWatch r="G48741"/>
    <cellWatch r="G48742"/>
    <cellWatch r="G48743"/>
    <cellWatch r="G48744"/>
    <cellWatch r="G48745"/>
    <cellWatch r="G48746"/>
    <cellWatch r="G48747"/>
    <cellWatch r="G48748"/>
    <cellWatch r="G48749"/>
    <cellWatch r="G48750"/>
    <cellWatch r="G48751"/>
    <cellWatch r="G48752"/>
    <cellWatch r="G48753"/>
    <cellWatch r="G48754"/>
    <cellWatch r="G48755"/>
    <cellWatch r="G48756"/>
    <cellWatch r="G48757"/>
    <cellWatch r="G48758"/>
    <cellWatch r="G48759"/>
    <cellWatch r="G48760"/>
    <cellWatch r="G48761"/>
    <cellWatch r="G48762"/>
    <cellWatch r="G48763"/>
    <cellWatch r="G48764"/>
    <cellWatch r="G48765"/>
    <cellWatch r="G48766"/>
    <cellWatch r="G48767"/>
    <cellWatch r="G48768"/>
    <cellWatch r="G48769"/>
    <cellWatch r="G48770"/>
    <cellWatch r="G48771"/>
    <cellWatch r="G48772"/>
    <cellWatch r="G48773"/>
    <cellWatch r="G48774"/>
    <cellWatch r="G48775"/>
    <cellWatch r="G48776"/>
    <cellWatch r="G48777"/>
    <cellWatch r="G48778"/>
    <cellWatch r="G48779"/>
    <cellWatch r="G48780"/>
    <cellWatch r="G48781"/>
    <cellWatch r="G48782"/>
    <cellWatch r="G48783"/>
    <cellWatch r="G48784"/>
    <cellWatch r="G48785"/>
    <cellWatch r="G48786"/>
    <cellWatch r="G48787"/>
    <cellWatch r="G48788"/>
    <cellWatch r="G48789"/>
    <cellWatch r="G48790"/>
    <cellWatch r="G48791"/>
    <cellWatch r="G48792"/>
    <cellWatch r="G48793"/>
    <cellWatch r="G48794"/>
    <cellWatch r="G48795"/>
    <cellWatch r="G48796"/>
    <cellWatch r="G48797"/>
    <cellWatch r="G48798"/>
    <cellWatch r="G48799"/>
    <cellWatch r="G48800"/>
    <cellWatch r="G48801"/>
    <cellWatch r="G48802"/>
    <cellWatch r="G48803"/>
    <cellWatch r="G48804"/>
    <cellWatch r="G48805"/>
    <cellWatch r="G48806"/>
    <cellWatch r="G48807"/>
    <cellWatch r="G48808"/>
    <cellWatch r="G48809"/>
    <cellWatch r="G48810"/>
    <cellWatch r="G48811"/>
    <cellWatch r="G48812"/>
    <cellWatch r="G48813"/>
    <cellWatch r="G48814"/>
    <cellWatch r="G48815"/>
    <cellWatch r="G48816"/>
    <cellWatch r="G48817"/>
    <cellWatch r="G48818"/>
    <cellWatch r="G48819"/>
    <cellWatch r="G48820"/>
    <cellWatch r="G48821"/>
    <cellWatch r="G48822"/>
    <cellWatch r="G48823"/>
    <cellWatch r="G48824"/>
    <cellWatch r="G48825"/>
    <cellWatch r="G48826"/>
    <cellWatch r="G48827"/>
    <cellWatch r="G48828"/>
    <cellWatch r="G48829"/>
    <cellWatch r="G48830"/>
    <cellWatch r="G48831"/>
    <cellWatch r="G48832"/>
    <cellWatch r="G48833"/>
    <cellWatch r="G48834"/>
    <cellWatch r="G48835"/>
    <cellWatch r="G48836"/>
    <cellWatch r="G48837"/>
    <cellWatch r="G48838"/>
    <cellWatch r="G48839"/>
    <cellWatch r="G48840"/>
    <cellWatch r="G48841"/>
    <cellWatch r="G48842"/>
    <cellWatch r="G48843"/>
    <cellWatch r="G48844"/>
    <cellWatch r="G48845"/>
    <cellWatch r="G48846"/>
    <cellWatch r="G48847"/>
    <cellWatch r="G48848"/>
    <cellWatch r="G48849"/>
    <cellWatch r="G48850"/>
    <cellWatch r="G48851"/>
    <cellWatch r="G48852"/>
    <cellWatch r="G48853"/>
    <cellWatch r="G48854"/>
    <cellWatch r="G48855"/>
    <cellWatch r="G48856"/>
    <cellWatch r="G48857"/>
    <cellWatch r="G48858"/>
    <cellWatch r="G48859"/>
    <cellWatch r="G48860"/>
    <cellWatch r="G48861"/>
    <cellWatch r="G48862"/>
    <cellWatch r="G48863"/>
    <cellWatch r="G48864"/>
    <cellWatch r="G48865"/>
    <cellWatch r="G48866"/>
    <cellWatch r="G48867"/>
    <cellWatch r="G48868"/>
    <cellWatch r="G48869"/>
    <cellWatch r="G48870"/>
    <cellWatch r="G48871"/>
    <cellWatch r="G48872"/>
    <cellWatch r="G48873"/>
    <cellWatch r="G48874"/>
    <cellWatch r="G48875"/>
    <cellWatch r="G48876"/>
    <cellWatch r="G48877"/>
    <cellWatch r="G48878"/>
    <cellWatch r="G48879"/>
    <cellWatch r="G48880"/>
    <cellWatch r="G48881"/>
    <cellWatch r="G48882"/>
    <cellWatch r="G48883"/>
    <cellWatch r="G48884"/>
    <cellWatch r="G48885"/>
    <cellWatch r="G48886"/>
    <cellWatch r="G48887"/>
    <cellWatch r="G48888"/>
    <cellWatch r="G48889"/>
    <cellWatch r="G48890"/>
    <cellWatch r="G48891"/>
    <cellWatch r="G48892"/>
    <cellWatch r="G48893"/>
    <cellWatch r="G48894"/>
    <cellWatch r="G48895"/>
    <cellWatch r="G48896"/>
    <cellWatch r="G48897"/>
    <cellWatch r="G48898"/>
    <cellWatch r="G48899"/>
    <cellWatch r="G48900"/>
    <cellWatch r="G48901"/>
    <cellWatch r="G48902"/>
    <cellWatch r="G48903"/>
    <cellWatch r="G48904"/>
    <cellWatch r="G48905"/>
    <cellWatch r="G48906"/>
    <cellWatch r="G48907"/>
    <cellWatch r="G48908"/>
    <cellWatch r="G48909"/>
    <cellWatch r="G48910"/>
    <cellWatch r="G48911"/>
    <cellWatch r="G48912"/>
    <cellWatch r="G48913"/>
    <cellWatch r="G48914"/>
    <cellWatch r="G48915"/>
    <cellWatch r="G48916"/>
    <cellWatch r="G48917"/>
    <cellWatch r="G48918"/>
    <cellWatch r="G48919"/>
    <cellWatch r="G48920"/>
    <cellWatch r="G48921"/>
    <cellWatch r="G48922"/>
    <cellWatch r="G48923"/>
    <cellWatch r="G48924"/>
    <cellWatch r="G48925"/>
    <cellWatch r="G48926"/>
    <cellWatch r="G48927"/>
    <cellWatch r="G48928"/>
    <cellWatch r="G48929"/>
    <cellWatch r="G48930"/>
    <cellWatch r="G48931"/>
    <cellWatch r="G48932"/>
    <cellWatch r="G48933"/>
    <cellWatch r="G48934"/>
    <cellWatch r="G48935"/>
    <cellWatch r="G48936"/>
    <cellWatch r="G48937"/>
    <cellWatch r="G48938"/>
    <cellWatch r="G48939"/>
    <cellWatch r="G48940"/>
    <cellWatch r="G48941"/>
    <cellWatch r="G48942"/>
    <cellWatch r="G48943"/>
    <cellWatch r="G48944"/>
    <cellWatch r="G48945"/>
    <cellWatch r="G48946"/>
    <cellWatch r="G48947"/>
    <cellWatch r="G48948"/>
    <cellWatch r="G48949"/>
    <cellWatch r="G48950"/>
    <cellWatch r="G48951"/>
    <cellWatch r="G48952"/>
    <cellWatch r="G48953"/>
    <cellWatch r="G48954"/>
    <cellWatch r="G48955"/>
    <cellWatch r="G48956"/>
    <cellWatch r="G48957"/>
    <cellWatch r="G48958"/>
    <cellWatch r="G48959"/>
    <cellWatch r="G48960"/>
    <cellWatch r="G48961"/>
    <cellWatch r="G48962"/>
    <cellWatch r="G48963"/>
    <cellWatch r="G48964"/>
    <cellWatch r="G48965"/>
    <cellWatch r="G48966"/>
    <cellWatch r="G48967"/>
    <cellWatch r="G48968"/>
    <cellWatch r="G48969"/>
    <cellWatch r="G48970"/>
    <cellWatch r="G48971"/>
    <cellWatch r="G48972"/>
    <cellWatch r="G48973"/>
    <cellWatch r="G48974"/>
    <cellWatch r="G48975"/>
    <cellWatch r="G48976"/>
    <cellWatch r="G48977"/>
    <cellWatch r="G48978"/>
    <cellWatch r="G48979"/>
    <cellWatch r="G48980"/>
    <cellWatch r="G48981"/>
    <cellWatch r="G48982"/>
    <cellWatch r="G48983"/>
    <cellWatch r="G48984"/>
    <cellWatch r="G48985"/>
    <cellWatch r="G48986"/>
    <cellWatch r="G48987"/>
    <cellWatch r="G48988"/>
    <cellWatch r="G48989"/>
    <cellWatch r="G48990"/>
    <cellWatch r="G48991"/>
    <cellWatch r="G48992"/>
    <cellWatch r="G48993"/>
    <cellWatch r="G48994"/>
    <cellWatch r="G48995"/>
    <cellWatch r="G48996"/>
    <cellWatch r="G48997"/>
    <cellWatch r="G48998"/>
    <cellWatch r="G48999"/>
    <cellWatch r="G49000"/>
    <cellWatch r="G49001"/>
    <cellWatch r="G49002"/>
    <cellWatch r="G49003"/>
    <cellWatch r="G49004"/>
    <cellWatch r="G49005"/>
    <cellWatch r="G49006"/>
    <cellWatch r="G49007"/>
    <cellWatch r="G49008"/>
    <cellWatch r="G49009"/>
    <cellWatch r="G49010"/>
    <cellWatch r="G49011"/>
    <cellWatch r="G49012"/>
    <cellWatch r="G49013"/>
    <cellWatch r="G49014"/>
    <cellWatch r="G49015"/>
    <cellWatch r="G49016"/>
    <cellWatch r="G49017"/>
    <cellWatch r="G49018"/>
    <cellWatch r="G49019"/>
    <cellWatch r="G49020"/>
    <cellWatch r="G49021"/>
    <cellWatch r="G49022"/>
    <cellWatch r="G49023"/>
    <cellWatch r="G49024"/>
    <cellWatch r="G49025"/>
    <cellWatch r="G49026"/>
    <cellWatch r="G49027"/>
    <cellWatch r="G49028"/>
    <cellWatch r="G49029"/>
    <cellWatch r="G49030"/>
    <cellWatch r="G49031"/>
    <cellWatch r="G49032"/>
    <cellWatch r="G49033"/>
    <cellWatch r="G49034"/>
    <cellWatch r="G49035"/>
    <cellWatch r="G49036"/>
    <cellWatch r="G49037"/>
    <cellWatch r="G49038"/>
    <cellWatch r="G49039"/>
    <cellWatch r="G49040"/>
    <cellWatch r="G49041"/>
    <cellWatch r="G49042"/>
    <cellWatch r="G49043"/>
    <cellWatch r="G49044"/>
    <cellWatch r="G49045"/>
    <cellWatch r="G49046"/>
    <cellWatch r="G49047"/>
    <cellWatch r="G49048"/>
    <cellWatch r="G49049"/>
    <cellWatch r="G49050"/>
    <cellWatch r="G49051"/>
    <cellWatch r="G49052"/>
    <cellWatch r="G49053"/>
    <cellWatch r="G49054"/>
    <cellWatch r="G49055"/>
    <cellWatch r="G49056"/>
    <cellWatch r="G49057"/>
    <cellWatch r="G49058"/>
    <cellWatch r="G49059"/>
    <cellWatch r="G49060"/>
    <cellWatch r="G49061"/>
    <cellWatch r="G49062"/>
    <cellWatch r="G49063"/>
    <cellWatch r="G49064"/>
    <cellWatch r="G49065"/>
    <cellWatch r="G49066"/>
    <cellWatch r="G49067"/>
    <cellWatch r="G49068"/>
    <cellWatch r="G49069"/>
    <cellWatch r="G49070"/>
    <cellWatch r="G49071"/>
    <cellWatch r="G49072"/>
    <cellWatch r="G49073"/>
    <cellWatch r="G49074"/>
    <cellWatch r="G49075"/>
    <cellWatch r="G49076"/>
    <cellWatch r="G49077"/>
    <cellWatch r="G49078"/>
    <cellWatch r="G49079"/>
    <cellWatch r="G49080"/>
    <cellWatch r="G49081"/>
    <cellWatch r="G49082"/>
    <cellWatch r="G49083"/>
    <cellWatch r="G49084"/>
    <cellWatch r="G49085"/>
    <cellWatch r="G49086"/>
    <cellWatch r="G49087"/>
    <cellWatch r="G49088"/>
    <cellWatch r="G49089"/>
    <cellWatch r="G49090"/>
    <cellWatch r="G49091"/>
    <cellWatch r="G49092"/>
    <cellWatch r="G49093"/>
    <cellWatch r="G49094"/>
    <cellWatch r="G49095"/>
    <cellWatch r="G49096"/>
    <cellWatch r="G49097"/>
    <cellWatch r="G49098"/>
    <cellWatch r="G49099"/>
    <cellWatch r="G49100"/>
    <cellWatch r="G49101"/>
    <cellWatch r="G49102"/>
    <cellWatch r="G49103"/>
    <cellWatch r="G49104"/>
    <cellWatch r="G49105"/>
    <cellWatch r="G49106"/>
    <cellWatch r="G49107"/>
    <cellWatch r="G49108"/>
    <cellWatch r="G49109"/>
    <cellWatch r="G49110"/>
    <cellWatch r="G49111"/>
    <cellWatch r="G49112"/>
    <cellWatch r="G49113"/>
    <cellWatch r="G49114"/>
    <cellWatch r="G49115"/>
    <cellWatch r="G49116"/>
    <cellWatch r="G49117"/>
    <cellWatch r="G49118"/>
    <cellWatch r="G49119"/>
    <cellWatch r="G49120"/>
    <cellWatch r="G49121"/>
    <cellWatch r="G49122"/>
    <cellWatch r="G49123"/>
    <cellWatch r="G49124"/>
    <cellWatch r="G49125"/>
    <cellWatch r="G49126"/>
    <cellWatch r="G49127"/>
    <cellWatch r="G49128"/>
    <cellWatch r="G49129"/>
    <cellWatch r="G49130"/>
    <cellWatch r="G49131"/>
    <cellWatch r="G49132"/>
    <cellWatch r="G49133"/>
    <cellWatch r="G49134"/>
    <cellWatch r="G49135"/>
    <cellWatch r="G49136"/>
    <cellWatch r="G49137"/>
    <cellWatch r="G49138"/>
    <cellWatch r="G49139"/>
    <cellWatch r="G49140"/>
    <cellWatch r="G49141"/>
    <cellWatch r="G49142"/>
    <cellWatch r="G49143"/>
    <cellWatch r="G49144"/>
    <cellWatch r="G49145"/>
    <cellWatch r="G49146"/>
    <cellWatch r="G49147"/>
    <cellWatch r="G49148"/>
    <cellWatch r="G49149"/>
    <cellWatch r="G49150"/>
    <cellWatch r="G49151"/>
    <cellWatch r="G49152"/>
    <cellWatch r="G49153"/>
    <cellWatch r="G49154"/>
    <cellWatch r="G49155"/>
    <cellWatch r="G49156"/>
    <cellWatch r="G49157"/>
    <cellWatch r="G49158"/>
    <cellWatch r="G49159"/>
    <cellWatch r="G49160"/>
    <cellWatch r="G49161"/>
    <cellWatch r="G49162"/>
    <cellWatch r="G49163"/>
    <cellWatch r="G49164"/>
    <cellWatch r="G49165"/>
    <cellWatch r="G49166"/>
    <cellWatch r="G49167"/>
    <cellWatch r="G49168"/>
    <cellWatch r="G49169"/>
    <cellWatch r="G49170"/>
    <cellWatch r="G49171"/>
    <cellWatch r="G49172"/>
    <cellWatch r="G49173"/>
    <cellWatch r="G49174"/>
    <cellWatch r="G49175"/>
    <cellWatch r="G49176"/>
    <cellWatch r="G49177"/>
    <cellWatch r="G49178"/>
    <cellWatch r="G49179"/>
    <cellWatch r="G49180"/>
    <cellWatch r="G49181"/>
    <cellWatch r="G49182"/>
    <cellWatch r="G49183"/>
    <cellWatch r="G49184"/>
    <cellWatch r="G49185"/>
    <cellWatch r="G49186"/>
    <cellWatch r="G49187"/>
    <cellWatch r="G49188"/>
    <cellWatch r="G49189"/>
    <cellWatch r="G49190"/>
    <cellWatch r="G49191"/>
    <cellWatch r="G49192"/>
    <cellWatch r="G49193"/>
    <cellWatch r="G49194"/>
    <cellWatch r="G49195"/>
    <cellWatch r="G49196"/>
    <cellWatch r="G49197"/>
    <cellWatch r="G49198"/>
    <cellWatch r="G49199"/>
    <cellWatch r="G49200"/>
    <cellWatch r="G49201"/>
    <cellWatch r="G49202"/>
    <cellWatch r="G49203"/>
    <cellWatch r="G49204"/>
    <cellWatch r="G49205"/>
    <cellWatch r="G49206"/>
    <cellWatch r="G49207"/>
    <cellWatch r="G49208"/>
    <cellWatch r="G49209"/>
    <cellWatch r="G49210"/>
    <cellWatch r="G49211"/>
    <cellWatch r="G49212"/>
    <cellWatch r="G49213"/>
    <cellWatch r="G49214"/>
    <cellWatch r="G49215"/>
    <cellWatch r="G49216"/>
    <cellWatch r="G49217"/>
    <cellWatch r="G49218"/>
    <cellWatch r="G49219"/>
    <cellWatch r="G49220"/>
    <cellWatch r="G49221"/>
    <cellWatch r="G49222"/>
    <cellWatch r="G49223"/>
    <cellWatch r="G49224"/>
    <cellWatch r="G49225"/>
    <cellWatch r="G49226"/>
    <cellWatch r="G49227"/>
    <cellWatch r="G49228"/>
    <cellWatch r="G49229"/>
    <cellWatch r="G49230"/>
    <cellWatch r="G49231"/>
    <cellWatch r="G49232"/>
    <cellWatch r="G49233"/>
    <cellWatch r="G49234"/>
    <cellWatch r="G49235"/>
    <cellWatch r="G49236"/>
    <cellWatch r="G49237"/>
    <cellWatch r="G49238"/>
    <cellWatch r="G49239"/>
    <cellWatch r="G49240"/>
    <cellWatch r="G49241"/>
    <cellWatch r="G49242"/>
    <cellWatch r="G49243"/>
    <cellWatch r="G49244"/>
    <cellWatch r="G49245"/>
    <cellWatch r="G49246"/>
    <cellWatch r="G49247"/>
    <cellWatch r="G49248"/>
    <cellWatch r="G49249"/>
    <cellWatch r="G49250"/>
    <cellWatch r="G49251"/>
    <cellWatch r="G49252"/>
    <cellWatch r="G49253"/>
    <cellWatch r="G49254"/>
    <cellWatch r="G49255"/>
    <cellWatch r="G49256"/>
    <cellWatch r="G49257"/>
    <cellWatch r="G49258"/>
    <cellWatch r="G49259"/>
    <cellWatch r="G49260"/>
    <cellWatch r="G49261"/>
    <cellWatch r="G49262"/>
    <cellWatch r="G49263"/>
    <cellWatch r="G49264"/>
    <cellWatch r="G49265"/>
    <cellWatch r="G49266"/>
    <cellWatch r="G49267"/>
    <cellWatch r="G49268"/>
    <cellWatch r="G49269"/>
    <cellWatch r="G49270"/>
    <cellWatch r="G49271"/>
    <cellWatch r="G49272"/>
    <cellWatch r="G49273"/>
    <cellWatch r="G49274"/>
    <cellWatch r="G49275"/>
    <cellWatch r="G49276"/>
    <cellWatch r="G49277"/>
    <cellWatch r="G49278"/>
    <cellWatch r="G49279"/>
    <cellWatch r="G49280"/>
    <cellWatch r="G49281"/>
    <cellWatch r="G49282"/>
    <cellWatch r="G49283"/>
    <cellWatch r="G49284"/>
    <cellWatch r="G49285"/>
    <cellWatch r="G49286"/>
    <cellWatch r="G49287"/>
    <cellWatch r="G49288"/>
    <cellWatch r="G49289"/>
    <cellWatch r="G49290"/>
    <cellWatch r="G49291"/>
    <cellWatch r="G49292"/>
    <cellWatch r="G49293"/>
    <cellWatch r="G49294"/>
    <cellWatch r="G49295"/>
    <cellWatch r="G49296"/>
    <cellWatch r="G49297"/>
    <cellWatch r="G49298"/>
    <cellWatch r="G49299"/>
    <cellWatch r="G49300"/>
    <cellWatch r="G49301"/>
    <cellWatch r="G49302"/>
    <cellWatch r="G49303"/>
    <cellWatch r="G49304"/>
    <cellWatch r="G49305"/>
    <cellWatch r="G49306"/>
    <cellWatch r="G49307"/>
    <cellWatch r="G49308"/>
    <cellWatch r="G49309"/>
    <cellWatch r="G49310"/>
    <cellWatch r="G49311"/>
    <cellWatch r="G49312"/>
    <cellWatch r="G49313"/>
    <cellWatch r="G49314"/>
    <cellWatch r="G49315"/>
    <cellWatch r="G49316"/>
    <cellWatch r="G49317"/>
    <cellWatch r="G49318"/>
    <cellWatch r="G49319"/>
    <cellWatch r="G49320"/>
    <cellWatch r="G49321"/>
    <cellWatch r="G49322"/>
    <cellWatch r="G49323"/>
    <cellWatch r="G49324"/>
    <cellWatch r="G49325"/>
    <cellWatch r="G49326"/>
    <cellWatch r="G49327"/>
    <cellWatch r="G49328"/>
    <cellWatch r="G49329"/>
    <cellWatch r="G49330"/>
    <cellWatch r="G49331"/>
    <cellWatch r="G49332"/>
    <cellWatch r="G49333"/>
    <cellWatch r="G49334"/>
    <cellWatch r="G49335"/>
    <cellWatch r="G49336"/>
    <cellWatch r="G49337"/>
    <cellWatch r="G49338"/>
    <cellWatch r="G49339"/>
    <cellWatch r="G49340"/>
    <cellWatch r="G49341"/>
    <cellWatch r="G49342"/>
    <cellWatch r="G49343"/>
    <cellWatch r="G49344"/>
    <cellWatch r="G49345"/>
    <cellWatch r="G49346"/>
    <cellWatch r="G49347"/>
    <cellWatch r="G49348"/>
    <cellWatch r="G49349"/>
    <cellWatch r="G49350"/>
    <cellWatch r="G49351"/>
    <cellWatch r="G49352"/>
    <cellWatch r="G49353"/>
    <cellWatch r="G49354"/>
    <cellWatch r="G49355"/>
    <cellWatch r="G49356"/>
    <cellWatch r="G49357"/>
    <cellWatch r="G49358"/>
    <cellWatch r="G49359"/>
    <cellWatch r="G49360"/>
    <cellWatch r="G49361"/>
    <cellWatch r="G49362"/>
    <cellWatch r="G49363"/>
    <cellWatch r="G49364"/>
    <cellWatch r="G49365"/>
    <cellWatch r="G49366"/>
    <cellWatch r="G49367"/>
    <cellWatch r="G49368"/>
    <cellWatch r="G49369"/>
    <cellWatch r="G49370"/>
    <cellWatch r="G49371"/>
    <cellWatch r="G49372"/>
    <cellWatch r="G49373"/>
    <cellWatch r="G49374"/>
    <cellWatch r="G49375"/>
    <cellWatch r="G49376"/>
    <cellWatch r="G49377"/>
    <cellWatch r="G49378"/>
    <cellWatch r="G49379"/>
    <cellWatch r="G49380"/>
    <cellWatch r="G49381"/>
    <cellWatch r="G49382"/>
    <cellWatch r="G49383"/>
    <cellWatch r="G49384"/>
    <cellWatch r="G49385"/>
    <cellWatch r="G49386"/>
    <cellWatch r="G49387"/>
    <cellWatch r="G49388"/>
    <cellWatch r="G49389"/>
    <cellWatch r="G49390"/>
    <cellWatch r="G49391"/>
    <cellWatch r="G49392"/>
    <cellWatch r="G49393"/>
    <cellWatch r="G49394"/>
    <cellWatch r="G49395"/>
    <cellWatch r="G49396"/>
    <cellWatch r="G49397"/>
    <cellWatch r="G49398"/>
    <cellWatch r="G49399"/>
    <cellWatch r="G49400"/>
    <cellWatch r="G49401"/>
    <cellWatch r="G49402"/>
    <cellWatch r="G49403"/>
    <cellWatch r="G49404"/>
    <cellWatch r="G49405"/>
    <cellWatch r="G49406"/>
    <cellWatch r="G49407"/>
    <cellWatch r="G49408"/>
    <cellWatch r="G49409"/>
    <cellWatch r="G49410"/>
    <cellWatch r="G49411"/>
    <cellWatch r="G49412"/>
    <cellWatch r="G49413"/>
    <cellWatch r="G49414"/>
    <cellWatch r="G49415"/>
    <cellWatch r="G49416"/>
    <cellWatch r="G49417"/>
    <cellWatch r="G49418"/>
    <cellWatch r="G49419"/>
    <cellWatch r="G49420"/>
    <cellWatch r="G49421"/>
    <cellWatch r="G49422"/>
    <cellWatch r="G49423"/>
    <cellWatch r="G49424"/>
    <cellWatch r="G49425"/>
    <cellWatch r="G49426"/>
    <cellWatch r="G49427"/>
    <cellWatch r="G49428"/>
    <cellWatch r="G49429"/>
    <cellWatch r="G49430"/>
    <cellWatch r="G49431"/>
    <cellWatch r="G49432"/>
    <cellWatch r="G49433"/>
    <cellWatch r="G49434"/>
    <cellWatch r="G49435"/>
    <cellWatch r="G49436"/>
    <cellWatch r="G49437"/>
    <cellWatch r="G49438"/>
    <cellWatch r="G49439"/>
    <cellWatch r="G49440"/>
    <cellWatch r="G49441"/>
    <cellWatch r="G49442"/>
    <cellWatch r="G49443"/>
    <cellWatch r="G49444"/>
    <cellWatch r="G49445"/>
    <cellWatch r="G49446"/>
    <cellWatch r="G49447"/>
    <cellWatch r="G49448"/>
    <cellWatch r="G49449"/>
    <cellWatch r="G49450"/>
    <cellWatch r="G49451"/>
    <cellWatch r="G49452"/>
    <cellWatch r="G49453"/>
    <cellWatch r="G49454"/>
    <cellWatch r="G49455"/>
    <cellWatch r="G49456"/>
    <cellWatch r="G49457"/>
    <cellWatch r="G49458"/>
    <cellWatch r="G49459"/>
    <cellWatch r="G49460"/>
    <cellWatch r="G49461"/>
    <cellWatch r="G49462"/>
    <cellWatch r="G49463"/>
    <cellWatch r="G49464"/>
    <cellWatch r="G49465"/>
    <cellWatch r="G49466"/>
    <cellWatch r="G49467"/>
    <cellWatch r="G49468"/>
    <cellWatch r="G49469"/>
    <cellWatch r="G49470"/>
    <cellWatch r="G49471"/>
    <cellWatch r="G49472"/>
    <cellWatch r="G49473"/>
    <cellWatch r="G49474"/>
    <cellWatch r="G49475"/>
    <cellWatch r="G49476"/>
    <cellWatch r="G49477"/>
    <cellWatch r="G49478"/>
    <cellWatch r="G49479"/>
    <cellWatch r="G49480"/>
    <cellWatch r="G49481"/>
    <cellWatch r="G49482"/>
    <cellWatch r="G49483"/>
    <cellWatch r="G49484"/>
    <cellWatch r="G49485"/>
    <cellWatch r="G49486"/>
    <cellWatch r="G49487"/>
    <cellWatch r="G49488"/>
    <cellWatch r="G49489"/>
    <cellWatch r="G49490"/>
    <cellWatch r="G49491"/>
    <cellWatch r="G49492"/>
    <cellWatch r="G49493"/>
    <cellWatch r="G49494"/>
    <cellWatch r="G49495"/>
    <cellWatch r="G49496"/>
    <cellWatch r="G49497"/>
    <cellWatch r="G49498"/>
    <cellWatch r="G49499"/>
    <cellWatch r="G49500"/>
    <cellWatch r="G49501"/>
    <cellWatch r="G49502"/>
    <cellWatch r="G49503"/>
    <cellWatch r="G49504"/>
    <cellWatch r="G49505"/>
    <cellWatch r="G49506"/>
    <cellWatch r="G49507"/>
    <cellWatch r="G49508"/>
    <cellWatch r="G49509"/>
    <cellWatch r="G49510"/>
    <cellWatch r="G49511"/>
    <cellWatch r="G49512"/>
    <cellWatch r="G49513"/>
    <cellWatch r="G49514"/>
    <cellWatch r="G49515"/>
    <cellWatch r="G49516"/>
    <cellWatch r="G49517"/>
    <cellWatch r="G49518"/>
    <cellWatch r="G49519"/>
    <cellWatch r="G49520"/>
    <cellWatch r="G49521"/>
    <cellWatch r="G49522"/>
    <cellWatch r="G49523"/>
    <cellWatch r="G49524"/>
    <cellWatch r="G49525"/>
    <cellWatch r="G49526"/>
    <cellWatch r="G49527"/>
    <cellWatch r="G49528"/>
    <cellWatch r="G49529"/>
    <cellWatch r="G49530"/>
    <cellWatch r="G49531"/>
    <cellWatch r="G49532"/>
    <cellWatch r="G49533"/>
    <cellWatch r="G49534"/>
    <cellWatch r="G49535"/>
    <cellWatch r="G49536"/>
    <cellWatch r="G49537"/>
    <cellWatch r="G49538"/>
    <cellWatch r="G49539"/>
    <cellWatch r="G49540"/>
    <cellWatch r="G49541"/>
    <cellWatch r="G49542"/>
    <cellWatch r="G49543"/>
    <cellWatch r="G49544"/>
    <cellWatch r="G49545"/>
    <cellWatch r="G49546"/>
    <cellWatch r="G49547"/>
    <cellWatch r="G49548"/>
    <cellWatch r="G49549"/>
    <cellWatch r="G49550"/>
    <cellWatch r="G49551"/>
    <cellWatch r="G49552"/>
    <cellWatch r="G49553"/>
    <cellWatch r="G49554"/>
    <cellWatch r="G49555"/>
    <cellWatch r="G49556"/>
    <cellWatch r="G49557"/>
    <cellWatch r="G49558"/>
    <cellWatch r="G49559"/>
    <cellWatch r="G49560"/>
    <cellWatch r="G49561"/>
    <cellWatch r="G49562"/>
    <cellWatch r="G49563"/>
    <cellWatch r="G49564"/>
    <cellWatch r="G49565"/>
    <cellWatch r="G49566"/>
    <cellWatch r="G49567"/>
    <cellWatch r="G49568"/>
    <cellWatch r="G49569"/>
    <cellWatch r="G49570"/>
    <cellWatch r="G49571"/>
    <cellWatch r="G49572"/>
    <cellWatch r="G49573"/>
    <cellWatch r="G49574"/>
    <cellWatch r="G49575"/>
    <cellWatch r="G49576"/>
    <cellWatch r="G49577"/>
    <cellWatch r="G49578"/>
    <cellWatch r="G49579"/>
    <cellWatch r="G49580"/>
    <cellWatch r="G49581"/>
    <cellWatch r="G49582"/>
    <cellWatch r="G49583"/>
    <cellWatch r="G49584"/>
    <cellWatch r="G49585"/>
    <cellWatch r="G49586"/>
    <cellWatch r="G49587"/>
    <cellWatch r="G49588"/>
    <cellWatch r="G49589"/>
    <cellWatch r="G49590"/>
    <cellWatch r="G49591"/>
    <cellWatch r="G49592"/>
    <cellWatch r="G49593"/>
    <cellWatch r="G49594"/>
    <cellWatch r="G49595"/>
    <cellWatch r="G49596"/>
    <cellWatch r="G49597"/>
    <cellWatch r="G49598"/>
    <cellWatch r="G49599"/>
    <cellWatch r="G49600"/>
    <cellWatch r="G49601"/>
    <cellWatch r="G49602"/>
    <cellWatch r="G49603"/>
    <cellWatch r="G49604"/>
    <cellWatch r="G49605"/>
    <cellWatch r="G49606"/>
    <cellWatch r="G49607"/>
    <cellWatch r="G49608"/>
    <cellWatch r="G49609"/>
    <cellWatch r="G49610"/>
    <cellWatch r="G49611"/>
    <cellWatch r="G49612"/>
    <cellWatch r="G49613"/>
    <cellWatch r="G49614"/>
    <cellWatch r="G49615"/>
    <cellWatch r="G49616"/>
    <cellWatch r="G49617"/>
    <cellWatch r="G49618"/>
    <cellWatch r="G49619"/>
    <cellWatch r="G49620"/>
    <cellWatch r="G49621"/>
    <cellWatch r="G49622"/>
    <cellWatch r="G49623"/>
    <cellWatch r="G49624"/>
    <cellWatch r="G49625"/>
    <cellWatch r="G49626"/>
    <cellWatch r="G49627"/>
    <cellWatch r="G49628"/>
    <cellWatch r="G49629"/>
    <cellWatch r="G49630"/>
    <cellWatch r="G49631"/>
    <cellWatch r="G49632"/>
    <cellWatch r="G49633"/>
    <cellWatch r="G49634"/>
    <cellWatch r="G49635"/>
    <cellWatch r="G49636"/>
    <cellWatch r="G49637"/>
    <cellWatch r="G49638"/>
    <cellWatch r="G49639"/>
    <cellWatch r="G49640"/>
    <cellWatch r="G49641"/>
    <cellWatch r="G49642"/>
    <cellWatch r="G49643"/>
    <cellWatch r="G49644"/>
    <cellWatch r="G49645"/>
    <cellWatch r="G49646"/>
    <cellWatch r="G49647"/>
    <cellWatch r="G49648"/>
    <cellWatch r="G49649"/>
    <cellWatch r="G49650"/>
    <cellWatch r="G49651"/>
    <cellWatch r="G49652"/>
    <cellWatch r="G49653"/>
    <cellWatch r="G49654"/>
    <cellWatch r="G49655"/>
    <cellWatch r="G49656"/>
    <cellWatch r="G49657"/>
    <cellWatch r="G49658"/>
    <cellWatch r="G49659"/>
    <cellWatch r="G49660"/>
    <cellWatch r="G49661"/>
    <cellWatch r="G49662"/>
    <cellWatch r="G49663"/>
    <cellWatch r="G49664"/>
    <cellWatch r="G49665"/>
    <cellWatch r="G49666"/>
    <cellWatch r="G49667"/>
    <cellWatch r="G49668"/>
    <cellWatch r="G49669"/>
    <cellWatch r="G49670"/>
    <cellWatch r="G49671"/>
    <cellWatch r="G49672"/>
    <cellWatch r="G49673"/>
    <cellWatch r="G49674"/>
    <cellWatch r="G49675"/>
    <cellWatch r="G49676"/>
    <cellWatch r="G49677"/>
    <cellWatch r="G49678"/>
    <cellWatch r="G49679"/>
    <cellWatch r="G49680"/>
    <cellWatch r="G49681"/>
    <cellWatch r="G49682"/>
    <cellWatch r="G49683"/>
    <cellWatch r="G49684"/>
    <cellWatch r="G49685"/>
    <cellWatch r="G49686"/>
    <cellWatch r="G49687"/>
    <cellWatch r="G49688"/>
    <cellWatch r="G49689"/>
    <cellWatch r="G49690"/>
    <cellWatch r="G49691"/>
    <cellWatch r="G49692"/>
    <cellWatch r="G49693"/>
    <cellWatch r="G49694"/>
    <cellWatch r="G49695"/>
    <cellWatch r="G49696"/>
    <cellWatch r="G49697"/>
    <cellWatch r="G49698"/>
    <cellWatch r="G49699"/>
    <cellWatch r="G49700"/>
    <cellWatch r="G49701"/>
    <cellWatch r="G49702"/>
    <cellWatch r="G49703"/>
    <cellWatch r="G49704"/>
    <cellWatch r="G49705"/>
    <cellWatch r="G49706"/>
    <cellWatch r="G49707"/>
    <cellWatch r="G49708"/>
    <cellWatch r="G49709"/>
    <cellWatch r="G49710"/>
    <cellWatch r="G49711"/>
    <cellWatch r="G49712"/>
    <cellWatch r="G49713"/>
    <cellWatch r="G49714"/>
    <cellWatch r="G49715"/>
    <cellWatch r="G49716"/>
    <cellWatch r="G49717"/>
    <cellWatch r="G49718"/>
    <cellWatch r="G49719"/>
    <cellWatch r="G49720"/>
    <cellWatch r="G49721"/>
    <cellWatch r="G49722"/>
    <cellWatch r="G49723"/>
    <cellWatch r="G49724"/>
    <cellWatch r="G49725"/>
    <cellWatch r="G49726"/>
    <cellWatch r="G49727"/>
    <cellWatch r="G49728"/>
    <cellWatch r="G49729"/>
    <cellWatch r="G49730"/>
    <cellWatch r="G49731"/>
    <cellWatch r="G49732"/>
    <cellWatch r="G49733"/>
    <cellWatch r="G49734"/>
    <cellWatch r="G49735"/>
    <cellWatch r="G49736"/>
    <cellWatch r="G49737"/>
    <cellWatch r="G49738"/>
    <cellWatch r="G49739"/>
    <cellWatch r="G49740"/>
    <cellWatch r="G49741"/>
    <cellWatch r="G49742"/>
    <cellWatch r="G49743"/>
    <cellWatch r="G49744"/>
    <cellWatch r="G49745"/>
    <cellWatch r="G49746"/>
    <cellWatch r="G49747"/>
    <cellWatch r="G49748"/>
    <cellWatch r="G49749"/>
    <cellWatch r="G49750"/>
    <cellWatch r="G49751"/>
    <cellWatch r="G49752"/>
    <cellWatch r="G49753"/>
    <cellWatch r="G49754"/>
    <cellWatch r="G49755"/>
    <cellWatch r="G49756"/>
    <cellWatch r="G49757"/>
    <cellWatch r="G49758"/>
    <cellWatch r="G49759"/>
    <cellWatch r="G49760"/>
    <cellWatch r="G49761"/>
    <cellWatch r="G49762"/>
    <cellWatch r="G49763"/>
    <cellWatch r="G49764"/>
    <cellWatch r="G49765"/>
    <cellWatch r="G49766"/>
    <cellWatch r="G49767"/>
    <cellWatch r="G49768"/>
    <cellWatch r="G49769"/>
    <cellWatch r="G49770"/>
    <cellWatch r="G49771"/>
    <cellWatch r="G49772"/>
    <cellWatch r="G49773"/>
    <cellWatch r="G49774"/>
    <cellWatch r="G49775"/>
    <cellWatch r="G49776"/>
    <cellWatch r="G49777"/>
    <cellWatch r="G49778"/>
    <cellWatch r="G49779"/>
    <cellWatch r="G49780"/>
    <cellWatch r="G49781"/>
    <cellWatch r="G49782"/>
    <cellWatch r="G49783"/>
    <cellWatch r="G49784"/>
    <cellWatch r="G49785"/>
    <cellWatch r="G49786"/>
    <cellWatch r="G49787"/>
    <cellWatch r="G49788"/>
    <cellWatch r="G49789"/>
    <cellWatch r="G49790"/>
    <cellWatch r="G49791"/>
    <cellWatch r="G49792"/>
    <cellWatch r="G49793"/>
    <cellWatch r="G49794"/>
    <cellWatch r="G49795"/>
    <cellWatch r="G49796"/>
    <cellWatch r="G49797"/>
    <cellWatch r="G49798"/>
    <cellWatch r="G49799"/>
    <cellWatch r="G49800"/>
    <cellWatch r="G49801"/>
    <cellWatch r="G49802"/>
    <cellWatch r="G49803"/>
    <cellWatch r="G49804"/>
    <cellWatch r="G49805"/>
    <cellWatch r="G49806"/>
    <cellWatch r="G49807"/>
    <cellWatch r="G49808"/>
    <cellWatch r="G49809"/>
    <cellWatch r="G49810"/>
    <cellWatch r="G49811"/>
    <cellWatch r="G49812"/>
    <cellWatch r="G49813"/>
    <cellWatch r="G49814"/>
    <cellWatch r="G49815"/>
    <cellWatch r="G49816"/>
    <cellWatch r="G49817"/>
    <cellWatch r="G49818"/>
    <cellWatch r="G49819"/>
    <cellWatch r="G49820"/>
    <cellWatch r="G49821"/>
    <cellWatch r="G49822"/>
    <cellWatch r="G49823"/>
    <cellWatch r="G49824"/>
    <cellWatch r="G49825"/>
    <cellWatch r="G49826"/>
    <cellWatch r="G49827"/>
    <cellWatch r="G49828"/>
    <cellWatch r="G49829"/>
    <cellWatch r="G49830"/>
    <cellWatch r="G49831"/>
    <cellWatch r="G49832"/>
    <cellWatch r="G49833"/>
    <cellWatch r="G49834"/>
    <cellWatch r="G49835"/>
    <cellWatch r="G49836"/>
    <cellWatch r="G49837"/>
    <cellWatch r="G49838"/>
    <cellWatch r="G49839"/>
    <cellWatch r="G49840"/>
    <cellWatch r="G49841"/>
    <cellWatch r="G49842"/>
    <cellWatch r="G49843"/>
    <cellWatch r="G49844"/>
    <cellWatch r="G49845"/>
    <cellWatch r="G49846"/>
    <cellWatch r="G49847"/>
    <cellWatch r="G49848"/>
    <cellWatch r="G49849"/>
    <cellWatch r="G49850"/>
    <cellWatch r="G49851"/>
    <cellWatch r="G49852"/>
    <cellWatch r="G49853"/>
    <cellWatch r="G49854"/>
    <cellWatch r="G49855"/>
    <cellWatch r="G49856"/>
    <cellWatch r="G49857"/>
    <cellWatch r="G49858"/>
    <cellWatch r="G49859"/>
    <cellWatch r="G49860"/>
    <cellWatch r="G49861"/>
    <cellWatch r="G49862"/>
    <cellWatch r="G49863"/>
    <cellWatch r="G49864"/>
    <cellWatch r="G49865"/>
    <cellWatch r="G49866"/>
    <cellWatch r="G49867"/>
    <cellWatch r="G49868"/>
    <cellWatch r="G49869"/>
    <cellWatch r="G49870"/>
    <cellWatch r="G49871"/>
    <cellWatch r="G49872"/>
    <cellWatch r="G49873"/>
    <cellWatch r="G49874"/>
    <cellWatch r="G49875"/>
    <cellWatch r="G49876"/>
    <cellWatch r="G49877"/>
    <cellWatch r="G49878"/>
    <cellWatch r="G49879"/>
    <cellWatch r="G49880"/>
    <cellWatch r="G49881"/>
    <cellWatch r="G49882"/>
    <cellWatch r="G49883"/>
    <cellWatch r="G49884"/>
    <cellWatch r="G49885"/>
    <cellWatch r="G49886"/>
    <cellWatch r="G49887"/>
    <cellWatch r="G49888"/>
    <cellWatch r="G49889"/>
    <cellWatch r="G49890"/>
    <cellWatch r="G49891"/>
    <cellWatch r="G49892"/>
    <cellWatch r="G49893"/>
    <cellWatch r="G49894"/>
    <cellWatch r="G49895"/>
    <cellWatch r="G49896"/>
    <cellWatch r="G49897"/>
    <cellWatch r="G49898"/>
    <cellWatch r="G49899"/>
    <cellWatch r="G49900"/>
    <cellWatch r="G49901"/>
    <cellWatch r="G49902"/>
    <cellWatch r="G49903"/>
    <cellWatch r="G49904"/>
    <cellWatch r="G49905"/>
    <cellWatch r="G49906"/>
    <cellWatch r="G49907"/>
    <cellWatch r="G49908"/>
    <cellWatch r="G49909"/>
    <cellWatch r="G49910"/>
    <cellWatch r="G49911"/>
    <cellWatch r="G49912"/>
    <cellWatch r="G49913"/>
    <cellWatch r="G49914"/>
    <cellWatch r="G49915"/>
    <cellWatch r="G49916"/>
    <cellWatch r="G49917"/>
    <cellWatch r="G49918"/>
    <cellWatch r="G49919"/>
    <cellWatch r="G49920"/>
    <cellWatch r="G49921"/>
    <cellWatch r="G49922"/>
    <cellWatch r="G49923"/>
    <cellWatch r="G49924"/>
    <cellWatch r="G49925"/>
    <cellWatch r="G49926"/>
    <cellWatch r="G49927"/>
    <cellWatch r="G49928"/>
    <cellWatch r="G49929"/>
    <cellWatch r="G49930"/>
    <cellWatch r="G49931"/>
    <cellWatch r="G49932"/>
    <cellWatch r="G49933"/>
    <cellWatch r="G49934"/>
    <cellWatch r="G49935"/>
    <cellWatch r="G49936"/>
    <cellWatch r="G49937"/>
    <cellWatch r="G49938"/>
    <cellWatch r="G49939"/>
    <cellWatch r="G49940"/>
    <cellWatch r="G49941"/>
    <cellWatch r="G49942"/>
    <cellWatch r="G49943"/>
    <cellWatch r="G49944"/>
    <cellWatch r="G49945"/>
    <cellWatch r="G49946"/>
    <cellWatch r="G49947"/>
    <cellWatch r="G49948"/>
    <cellWatch r="G49949"/>
    <cellWatch r="G49950"/>
    <cellWatch r="G49951"/>
    <cellWatch r="G49952"/>
    <cellWatch r="G49953"/>
    <cellWatch r="G49954"/>
    <cellWatch r="G49955"/>
    <cellWatch r="G49956"/>
    <cellWatch r="G49957"/>
    <cellWatch r="G49958"/>
    <cellWatch r="G49959"/>
    <cellWatch r="G49960"/>
    <cellWatch r="G49961"/>
    <cellWatch r="G49962"/>
    <cellWatch r="G49963"/>
    <cellWatch r="G49964"/>
    <cellWatch r="G49965"/>
    <cellWatch r="G49966"/>
    <cellWatch r="G49967"/>
    <cellWatch r="G49968"/>
    <cellWatch r="G49969"/>
    <cellWatch r="G49970"/>
    <cellWatch r="G49971"/>
    <cellWatch r="G49972"/>
    <cellWatch r="G49973"/>
    <cellWatch r="G49974"/>
    <cellWatch r="G49975"/>
    <cellWatch r="G49976"/>
    <cellWatch r="G49977"/>
    <cellWatch r="G49978"/>
    <cellWatch r="G49979"/>
    <cellWatch r="G49980"/>
    <cellWatch r="G49981"/>
    <cellWatch r="G49982"/>
    <cellWatch r="G49983"/>
    <cellWatch r="G49984"/>
    <cellWatch r="G49985"/>
    <cellWatch r="G49986"/>
    <cellWatch r="G49987"/>
    <cellWatch r="G49988"/>
    <cellWatch r="G49989"/>
    <cellWatch r="G49990"/>
    <cellWatch r="G49991"/>
    <cellWatch r="G49992"/>
    <cellWatch r="G49993"/>
    <cellWatch r="G49994"/>
    <cellWatch r="G49995"/>
    <cellWatch r="G49996"/>
    <cellWatch r="G49997"/>
    <cellWatch r="G49998"/>
    <cellWatch r="G49999"/>
    <cellWatch r="G50000"/>
    <cellWatch r="G50001"/>
    <cellWatch r="G50002"/>
    <cellWatch r="G50003"/>
    <cellWatch r="G50004"/>
    <cellWatch r="G50005"/>
    <cellWatch r="G50006"/>
    <cellWatch r="G50007"/>
    <cellWatch r="G50008"/>
    <cellWatch r="G50009"/>
    <cellWatch r="G50010"/>
    <cellWatch r="G50011"/>
    <cellWatch r="G50012"/>
    <cellWatch r="G50013"/>
    <cellWatch r="G50014"/>
    <cellWatch r="G50015"/>
    <cellWatch r="G50016"/>
    <cellWatch r="G50017"/>
    <cellWatch r="G50018"/>
    <cellWatch r="G50019"/>
    <cellWatch r="G50020"/>
    <cellWatch r="G50021"/>
    <cellWatch r="G50022"/>
    <cellWatch r="G50023"/>
    <cellWatch r="G50024"/>
    <cellWatch r="G50025"/>
    <cellWatch r="G50026"/>
    <cellWatch r="G50027"/>
    <cellWatch r="G50028"/>
    <cellWatch r="G50029"/>
    <cellWatch r="G50030"/>
    <cellWatch r="G50031"/>
    <cellWatch r="G50032"/>
    <cellWatch r="G50033"/>
    <cellWatch r="G50034"/>
    <cellWatch r="G50035"/>
    <cellWatch r="G50036"/>
    <cellWatch r="G50037"/>
    <cellWatch r="G50038"/>
    <cellWatch r="G50039"/>
    <cellWatch r="G50040"/>
    <cellWatch r="G50041"/>
    <cellWatch r="G50042"/>
    <cellWatch r="G50043"/>
    <cellWatch r="G50044"/>
    <cellWatch r="G50045"/>
    <cellWatch r="G50046"/>
    <cellWatch r="G50047"/>
    <cellWatch r="G50048"/>
    <cellWatch r="G50049"/>
    <cellWatch r="G50050"/>
    <cellWatch r="G50051"/>
    <cellWatch r="G50052"/>
    <cellWatch r="G50053"/>
    <cellWatch r="G50054"/>
    <cellWatch r="G50055"/>
    <cellWatch r="G50056"/>
    <cellWatch r="G50057"/>
    <cellWatch r="G50058"/>
    <cellWatch r="G50059"/>
    <cellWatch r="G50060"/>
    <cellWatch r="G50061"/>
    <cellWatch r="G50062"/>
    <cellWatch r="G50063"/>
    <cellWatch r="G50064"/>
    <cellWatch r="G50065"/>
    <cellWatch r="G50066"/>
    <cellWatch r="G50067"/>
    <cellWatch r="G50068"/>
    <cellWatch r="G50069"/>
    <cellWatch r="G50070"/>
    <cellWatch r="G50071"/>
    <cellWatch r="G50072"/>
    <cellWatch r="G50073"/>
    <cellWatch r="G50074"/>
    <cellWatch r="G50075"/>
    <cellWatch r="G50076"/>
    <cellWatch r="G50077"/>
    <cellWatch r="G50078"/>
    <cellWatch r="G50079"/>
    <cellWatch r="G50080"/>
    <cellWatch r="G50081"/>
    <cellWatch r="G50082"/>
    <cellWatch r="G50083"/>
    <cellWatch r="G50084"/>
    <cellWatch r="G50085"/>
    <cellWatch r="G50086"/>
    <cellWatch r="G50087"/>
    <cellWatch r="G50088"/>
    <cellWatch r="G50089"/>
    <cellWatch r="G50090"/>
    <cellWatch r="G50091"/>
    <cellWatch r="G50092"/>
    <cellWatch r="G50093"/>
    <cellWatch r="G50094"/>
    <cellWatch r="G50095"/>
    <cellWatch r="G50096"/>
    <cellWatch r="G50097"/>
    <cellWatch r="G50098"/>
    <cellWatch r="G50099"/>
    <cellWatch r="G50100"/>
    <cellWatch r="G50101"/>
    <cellWatch r="G50102"/>
    <cellWatch r="G50103"/>
    <cellWatch r="G50104"/>
    <cellWatch r="G50105"/>
    <cellWatch r="G50106"/>
    <cellWatch r="G50107"/>
    <cellWatch r="G50108"/>
    <cellWatch r="G50109"/>
    <cellWatch r="G50110"/>
    <cellWatch r="G50111"/>
    <cellWatch r="G50112"/>
    <cellWatch r="G50113"/>
    <cellWatch r="G50114"/>
    <cellWatch r="G50115"/>
    <cellWatch r="G50116"/>
    <cellWatch r="G50117"/>
    <cellWatch r="G50118"/>
    <cellWatch r="G50119"/>
    <cellWatch r="G50120"/>
    <cellWatch r="G50121"/>
    <cellWatch r="G50122"/>
    <cellWatch r="G50123"/>
    <cellWatch r="G50124"/>
    <cellWatch r="G50125"/>
    <cellWatch r="G50126"/>
    <cellWatch r="G50127"/>
    <cellWatch r="G50128"/>
    <cellWatch r="G50129"/>
    <cellWatch r="G50130"/>
    <cellWatch r="G50131"/>
    <cellWatch r="G50132"/>
    <cellWatch r="G50133"/>
    <cellWatch r="G50134"/>
    <cellWatch r="G50135"/>
    <cellWatch r="G50136"/>
    <cellWatch r="G50137"/>
    <cellWatch r="G50138"/>
    <cellWatch r="G50139"/>
    <cellWatch r="G50140"/>
    <cellWatch r="G50141"/>
    <cellWatch r="G50142"/>
    <cellWatch r="G50143"/>
    <cellWatch r="G50144"/>
    <cellWatch r="G50145"/>
    <cellWatch r="G50146"/>
    <cellWatch r="G50147"/>
    <cellWatch r="G50148"/>
    <cellWatch r="G50149"/>
    <cellWatch r="G50150"/>
    <cellWatch r="G50151"/>
    <cellWatch r="G50152"/>
    <cellWatch r="G50153"/>
    <cellWatch r="G50154"/>
    <cellWatch r="G50155"/>
    <cellWatch r="G50156"/>
    <cellWatch r="G50157"/>
    <cellWatch r="G50158"/>
    <cellWatch r="G50159"/>
    <cellWatch r="G50160"/>
    <cellWatch r="G50161"/>
    <cellWatch r="G50162"/>
    <cellWatch r="G50163"/>
    <cellWatch r="G50164"/>
    <cellWatch r="G50165"/>
    <cellWatch r="G50166"/>
    <cellWatch r="G50167"/>
    <cellWatch r="G50168"/>
    <cellWatch r="G50169"/>
    <cellWatch r="G50170"/>
    <cellWatch r="G50171"/>
    <cellWatch r="G50172"/>
    <cellWatch r="G50173"/>
    <cellWatch r="G50174"/>
    <cellWatch r="G50175"/>
    <cellWatch r="G50176"/>
    <cellWatch r="G50177"/>
    <cellWatch r="G50178"/>
    <cellWatch r="G50179"/>
    <cellWatch r="G50180"/>
    <cellWatch r="G50181"/>
    <cellWatch r="G50182"/>
    <cellWatch r="G50183"/>
    <cellWatch r="G50184"/>
    <cellWatch r="G50185"/>
    <cellWatch r="G50186"/>
    <cellWatch r="G50187"/>
    <cellWatch r="G50188"/>
    <cellWatch r="G50189"/>
    <cellWatch r="G50190"/>
    <cellWatch r="G50191"/>
    <cellWatch r="G50192"/>
    <cellWatch r="G50193"/>
    <cellWatch r="G50194"/>
    <cellWatch r="G50195"/>
    <cellWatch r="G50196"/>
    <cellWatch r="G50197"/>
    <cellWatch r="G50198"/>
    <cellWatch r="G50199"/>
    <cellWatch r="G50200"/>
    <cellWatch r="G50201"/>
    <cellWatch r="G50202"/>
    <cellWatch r="G50203"/>
    <cellWatch r="G50204"/>
    <cellWatch r="G50205"/>
    <cellWatch r="G50206"/>
    <cellWatch r="G50207"/>
    <cellWatch r="G50208"/>
    <cellWatch r="G50209"/>
    <cellWatch r="G50210"/>
    <cellWatch r="G50211"/>
    <cellWatch r="G50212"/>
    <cellWatch r="G50213"/>
    <cellWatch r="G50214"/>
    <cellWatch r="G50215"/>
    <cellWatch r="G50216"/>
    <cellWatch r="G50217"/>
    <cellWatch r="G50218"/>
    <cellWatch r="G50219"/>
    <cellWatch r="G50220"/>
    <cellWatch r="G50221"/>
    <cellWatch r="G50222"/>
    <cellWatch r="G50223"/>
    <cellWatch r="G50224"/>
    <cellWatch r="G50225"/>
    <cellWatch r="G50226"/>
    <cellWatch r="G50227"/>
    <cellWatch r="G50228"/>
    <cellWatch r="G50229"/>
    <cellWatch r="G50230"/>
    <cellWatch r="G50231"/>
    <cellWatch r="G50232"/>
    <cellWatch r="G50233"/>
    <cellWatch r="G50234"/>
    <cellWatch r="G50235"/>
    <cellWatch r="G50236"/>
    <cellWatch r="G50237"/>
    <cellWatch r="G50238"/>
    <cellWatch r="G50239"/>
    <cellWatch r="G50240"/>
    <cellWatch r="G50241"/>
    <cellWatch r="G50242"/>
    <cellWatch r="G50243"/>
    <cellWatch r="G50244"/>
    <cellWatch r="G50245"/>
    <cellWatch r="G50246"/>
    <cellWatch r="G50247"/>
    <cellWatch r="G50248"/>
    <cellWatch r="G50249"/>
    <cellWatch r="G50250"/>
    <cellWatch r="G50251"/>
    <cellWatch r="G50252"/>
    <cellWatch r="G50253"/>
    <cellWatch r="G50254"/>
    <cellWatch r="G50255"/>
    <cellWatch r="G50256"/>
    <cellWatch r="G50257"/>
    <cellWatch r="G50258"/>
    <cellWatch r="G50259"/>
    <cellWatch r="G50260"/>
    <cellWatch r="G50261"/>
    <cellWatch r="G50262"/>
    <cellWatch r="G50263"/>
    <cellWatch r="G50264"/>
    <cellWatch r="G50265"/>
    <cellWatch r="G50266"/>
    <cellWatch r="G50267"/>
    <cellWatch r="G50268"/>
    <cellWatch r="G50269"/>
    <cellWatch r="G50270"/>
    <cellWatch r="G50271"/>
    <cellWatch r="G50272"/>
    <cellWatch r="G50273"/>
    <cellWatch r="G50274"/>
    <cellWatch r="G50275"/>
    <cellWatch r="G50276"/>
    <cellWatch r="G50277"/>
    <cellWatch r="G50278"/>
    <cellWatch r="G50279"/>
    <cellWatch r="G50280"/>
    <cellWatch r="G50281"/>
    <cellWatch r="G50282"/>
    <cellWatch r="G50283"/>
    <cellWatch r="G50284"/>
    <cellWatch r="G50285"/>
    <cellWatch r="G50286"/>
    <cellWatch r="G50287"/>
    <cellWatch r="G50288"/>
    <cellWatch r="G50289"/>
    <cellWatch r="G50290"/>
    <cellWatch r="G50291"/>
    <cellWatch r="G50292"/>
    <cellWatch r="G50293"/>
    <cellWatch r="G50294"/>
    <cellWatch r="G50295"/>
    <cellWatch r="G50296"/>
    <cellWatch r="G50297"/>
    <cellWatch r="G50298"/>
    <cellWatch r="G50299"/>
    <cellWatch r="G50300"/>
    <cellWatch r="G50301"/>
    <cellWatch r="G50302"/>
    <cellWatch r="G50303"/>
    <cellWatch r="G50304"/>
    <cellWatch r="G50305"/>
    <cellWatch r="G50306"/>
    <cellWatch r="G50307"/>
    <cellWatch r="G50308"/>
    <cellWatch r="G50309"/>
    <cellWatch r="G50310"/>
    <cellWatch r="G50311"/>
    <cellWatch r="G50312"/>
    <cellWatch r="G50313"/>
    <cellWatch r="G50314"/>
    <cellWatch r="G50315"/>
    <cellWatch r="G50316"/>
    <cellWatch r="G50317"/>
    <cellWatch r="G50318"/>
    <cellWatch r="G50319"/>
    <cellWatch r="G50320"/>
    <cellWatch r="G50321"/>
    <cellWatch r="G50322"/>
    <cellWatch r="G50323"/>
    <cellWatch r="G50324"/>
    <cellWatch r="G50325"/>
    <cellWatch r="G50326"/>
    <cellWatch r="G50327"/>
    <cellWatch r="G50328"/>
    <cellWatch r="G50329"/>
    <cellWatch r="G50330"/>
    <cellWatch r="G50331"/>
    <cellWatch r="G50332"/>
    <cellWatch r="G50333"/>
    <cellWatch r="G50334"/>
    <cellWatch r="G50335"/>
    <cellWatch r="G50336"/>
    <cellWatch r="G50337"/>
    <cellWatch r="G50338"/>
    <cellWatch r="G50339"/>
    <cellWatch r="G50340"/>
    <cellWatch r="G50341"/>
    <cellWatch r="G50342"/>
    <cellWatch r="G50343"/>
    <cellWatch r="G50344"/>
    <cellWatch r="G50345"/>
    <cellWatch r="G50346"/>
    <cellWatch r="G50347"/>
    <cellWatch r="G50348"/>
    <cellWatch r="G50349"/>
    <cellWatch r="G50350"/>
    <cellWatch r="G50351"/>
    <cellWatch r="G50352"/>
    <cellWatch r="G50353"/>
    <cellWatch r="G50354"/>
    <cellWatch r="G50355"/>
    <cellWatch r="G50356"/>
    <cellWatch r="G50357"/>
    <cellWatch r="G50358"/>
    <cellWatch r="G50359"/>
    <cellWatch r="G50360"/>
    <cellWatch r="G50361"/>
    <cellWatch r="G50362"/>
    <cellWatch r="G50363"/>
    <cellWatch r="G50364"/>
    <cellWatch r="G50365"/>
    <cellWatch r="G50366"/>
    <cellWatch r="G50367"/>
    <cellWatch r="G50368"/>
    <cellWatch r="G50369"/>
    <cellWatch r="G50370"/>
    <cellWatch r="G50371"/>
    <cellWatch r="G50372"/>
    <cellWatch r="G50373"/>
    <cellWatch r="G50374"/>
    <cellWatch r="G50375"/>
    <cellWatch r="G50376"/>
    <cellWatch r="G50377"/>
    <cellWatch r="G50378"/>
    <cellWatch r="G50379"/>
    <cellWatch r="G50380"/>
    <cellWatch r="G50381"/>
    <cellWatch r="G50382"/>
    <cellWatch r="G50383"/>
    <cellWatch r="G50384"/>
    <cellWatch r="G50385"/>
    <cellWatch r="G50386"/>
    <cellWatch r="G50387"/>
    <cellWatch r="G50388"/>
    <cellWatch r="G50389"/>
    <cellWatch r="G50390"/>
    <cellWatch r="G50391"/>
    <cellWatch r="G50392"/>
    <cellWatch r="G50393"/>
    <cellWatch r="G50394"/>
    <cellWatch r="G50395"/>
    <cellWatch r="G50396"/>
    <cellWatch r="G50397"/>
    <cellWatch r="G50398"/>
    <cellWatch r="G50399"/>
    <cellWatch r="G50400"/>
    <cellWatch r="G50401"/>
    <cellWatch r="G50402"/>
    <cellWatch r="G50403"/>
    <cellWatch r="G50404"/>
    <cellWatch r="G50405"/>
    <cellWatch r="G50406"/>
    <cellWatch r="G50407"/>
    <cellWatch r="G50408"/>
    <cellWatch r="G50409"/>
    <cellWatch r="G50410"/>
    <cellWatch r="G50411"/>
    <cellWatch r="G50412"/>
    <cellWatch r="G50413"/>
    <cellWatch r="G50414"/>
    <cellWatch r="G50415"/>
    <cellWatch r="G50416"/>
    <cellWatch r="G50417"/>
    <cellWatch r="G50418"/>
    <cellWatch r="G50419"/>
    <cellWatch r="G50420"/>
    <cellWatch r="G50421"/>
    <cellWatch r="G50422"/>
    <cellWatch r="G50423"/>
    <cellWatch r="G50424"/>
    <cellWatch r="G50425"/>
    <cellWatch r="G50426"/>
    <cellWatch r="G50427"/>
    <cellWatch r="G50428"/>
    <cellWatch r="G50429"/>
    <cellWatch r="G50430"/>
    <cellWatch r="G50431"/>
    <cellWatch r="G50432"/>
    <cellWatch r="G50433"/>
    <cellWatch r="G50434"/>
    <cellWatch r="G50435"/>
    <cellWatch r="G50436"/>
    <cellWatch r="G50437"/>
    <cellWatch r="G50438"/>
    <cellWatch r="G50439"/>
    <cellWatch r="G50440"/>
    <cellWatch r="G50441"/>
    <cellWatch r="G50442"/>
    <cellWatch r="G50443"/>
    <cellWatch r="G50444"/>
    <cellWatch r="G50445"/>
    <cellWatch r="G50446"/>
    <cellWatch r="G50447"/>
    <cellWatch r="G50448"/>
    <cellWatch r="G50449"/>
    <cellWatch r="G50450"/>
    <cellWatch r="G50451"/>
    <cellWatch r="G50452"/>
    <cellWatch r="G50453"/>
    <cellWatch r="G50454"/>
    <cellWatch r="G50455"/>
    <cellWatch r="G50456"/>
    <cellWatch r="G50457"/>
    <cellWatch r="G50458"/>
    <cellWatch r="G50459"/>
    <cellWatch r="G50460"/>
    <cellWatch r="G50461"/>
    <cellWatch r="G50462"/>
    <cellWatch r="G50463"/>
    <cellWatch r="G50464"/>
    <cellWatch r="G50465"/>
    <cellWatch r="G50466"/>
    <cellWatch r="G50467"/>
    <cellWatch r="G50468"/>
    <cellWatch r="G50469"/>
    <cellWatch r="G50470"/>
    <cellWatch r="G50471"/>
    <cellWatch r="G50472"/>
    <cellWatch r="G50473"/>
    <cellWatch r="G50474"/>
    <cellWatch r="G50475"/>
    <cellWatch r="G50476"/>
    <cellWatch r="G50477"/>
    <cellWatch r="G50478"/>
    <cellWatch r="G50479"/>
    <cellWatch r="G50480"/>
    <cellWatch r="G50481"/>
    <cellWatch r="G50482"/>
    <cellWatch r="G50483"/>
    <cellWatch r="G50484"/>
    <cellWatch r="G50485"/>
    <cellWatch r="G50486"/>
    <cellWatch r="G50487"/>
    <cellWatch r="G50488"/>
    <cellWatch r="G50489"/>
    <cellWatch r="G50490"/>
    <cellWatch r="G50491"/>
    <cellWatch r="G50492"/>
    <cellWatch r="G50493"/>
    <cellWatch r="G50494"/>
    <cellWatch r="G50495"/>
    <cellWatch r="G50496"/>
    <cellWatch r="G50497"/>
    <cellWatch r="G50498"/>
    <cellWatch r="G50499"/>
    <cellWatch r="G50500"/>
    <cellWatch r="G50501"/>
    <cellWatch r="G50502"/>
    <cellWatch r="G50503"/>
    <cellWatch r="G50504"/>
    <cellWatch r="G50505"/>
    <cellWatch r="G50506"/>
    <cellWatch r="G50507"/>
    <cellWatch r="G50508"/>
    <cellWatch r="G50509"/>
    <cellWatch r="G50510"/>
    <cellWatch r="G50511"/>
    <cellWatch r="G50512"/>
    <cellWatch r="G50513"/>
    <cellWatch r="G50514"/>
    <cellWatch r="G50515"/>
    <cellWatch r="G50516"/>
    <cellWatch r="G50517"/>
    <cellWatch r="G50518"/>
    <cellWatch r="G50519"/>
    <cellWatch r="G50520"/>
    <cellWatch r="G50521"/>
    <cellWatch r="G50522"/>
    <cellWatch r="G50523"/>
    <cellWatch r="G50524"/>
    <cellWatch r="G50525"/>
    <cellWatch r="G50526"/>
    <cellWatch r="G50527"/>
    <cellWatch r="G50528"/>
    <cellWatch r="G50529"/>
    <cellWatch r="G50530"/>
    <cellWatch r="G50531"/>
    <cellWatch r="G50532"/>
    <cellWatch r="G50533"/>
    <cellWatch r="G50534"/>
    <cellWatch r="G50535"/>
    <cellWatch r="G50536"/>
    <cellWatch r="G50537"/>
    <cellWatch r="G50538"/>
    <cellWatch r="G50539"/>
    <cellWatch r="G50540"/>
    <cellWatch r="G50541"/>
    <cellWatch r="G50542"/>
    <cellWatch r="G50543"/>
    <cellWatch r="G50544"/>
    <cellWatch r="G50545"/>
    <cellWatch r="G50546"/>
    <cellWatch r="G50547"/>
    <cellWatch r="G50548"/>
    <cellWatch r="G50549"/>
    <cellWatch r="G50550"/>
    <cellWatch r="G50551"/>
    <cellWatch r="G50552"/>
    <cellWatch r="G50553"/>
    <cellWatch r="G50554"/>
    <cellWatch r="G50555"/>
    <cellWatch r="G50556"/>
    <cellWatch r="G50557"/>
    <cellWatch r="G50558"/>
    <cellWatch r="G50559"/>
    <cellWatch r="G50560"/>
    <cellWatch r="G50561"/>
    <cellWatch r="G50562"/>
    <cellWatch r="G50563"/>
    <cellWatch r="G50564"/>
    <cellWatch r="G50565"/>
    <cellWatch r="G50566"/>
    <cellWatch r="G50567"/>
    <cellWatch r="G50568"/>
    <cellWatch r="G50569"/>
    <cellWatch r="G50570"/>
    <cellWatch r="G50571"/>
    <cellWatch r="G50572"/>
    <cellWatch r="G50573"/>
    <cellWatch r="G50574"/>
    <cellWatch r="G50575"/>
    <cellWatch r="G50576"/>
    <cellWatch r="G50577"/>
    <cellWatch r="G50578"/>
    <cellWatch r="G50579"/>
    <cellWatch r="G50580"/>
    <cellWatch r="G50581"/>
    <cellWatch r="G50582"/>
    <cellWatch r="G50583"/>
    <cellWatch r="G50584"/>
    <cellWatch r="G50585"/>
    <cellWatch r="G50586"/>
    <cellWatch r="G50587"/>
    <cellWatch r="G50588"/>
    <cellWatch r="G50589"/>
    <cellWatch r="G50590"/>
    <cellWatch r="G50591"/>
    <cellWatch r="G50592"/>
    <cellWatch r="G50593"/>
    <cellWatch r="G50594"/>
    <cellWatch r="G50595"/>
    <cellWatch r="G50596"/>
    <cellWatch r="G50597"/>
    <cellWatch r="G50598"/>
    <cellWatch r="G50599"/>
    <cellWatch r="G50600"/>
    <cellWatch r="G50601"/>
    <cellWatch r="G50602"/>
    <cellWatch r="G50603"/>
    <cellWatch r="G50604"/>
    <cellWatch r="G50605"/>
    <cellWatch r="G50606"/>
    <cellWatch r="G50607"/>
    <cellWatch r="G50608"/>
    <cellWatch r="G50609"/>
    <cellWatch r="G50610"/>
    <cellWatch r="G50611"/>
    <cellWatch r="G50612"/>
    <cellWatch r="G50613"/>
    <cellWatch r="G50614"/>
    <cellWatch r="G50615"/>
    <cellWatch r="G50616"/>
    <cellWatch r="G50617"/>
    <cellWatch r="G50618"/>
    <cellWatch r="G50619"/>
    <cellWatch r="G50620"/>
    <cellWatch r="G50621"/>
    <cellWatch r="G50622"/>
    <cellWatch r="G50623"/>
    <cellWatch r="G50624"/>
    <cellWatch r="G50625"/>
    <cellWatch r="G50626"/>
    <cellWatch r="G50627"/>
    <cellWatch r="G50628"/>
    <cellWatch r="G50629"/>
    <cellWatch r="G50630"/>
    <cellWatch r="G50631"/>
    <cellWatch r="G50632"/>
    <cellWatch r="G50633"/>
    <cellWatch r="G50634"/>
    <cellWatch r="G50635"/>
    <cellWatch r="G50636"/>
    <cellWatch r="G50637"/>
    <cellWatch r="G50638"/>
    <cellWatch r="G50639"/>
    <cellWatch r="G50640"/>
    <cellWatch r="G50641"/>
    <cellWatch r="G50642"/>
    <cellWatch r="G50643"/>
    <cellWatch r="G50644"/>
    <cellWatch r="G50645"/>
    <cellWatch r="G50646"/>
    <cellWatch r="G50647"/>
    <cellWatch r="G50648"/>
    <cellWatch r="G50649"/>
    <cellWatch r="G50650"/>
    <cellWatch r="G50651"/>
    <cellWatch r="G50652"/>
    <cellWatch r="G50653"/>
    <cellWatch r="G50654"/>
    <cellWatch r="G50655"/>
    <cellWatch r="G50656"/>
    <cellWatch r="G50657"/>
    <cellWatch r="G50658"/>
    <cellWatch r="G50659"/>
    <cellWatch r="G50660"/>
    <cellWatch r="G50661"/>
    <cellWatch r="G50662"/>
    <cellWatch r="G50663"/>
    <cellWatch r="G50664"/>
    <cellWatch r="G50665"/>
    <cellWatch r="G50666"/>
    <cellWatch r="G50667"/>
    <cellWatch r="G50668"/>
    <cellWatch r="G50669"/>
    <cellWatch r="G50670"/>
    <cellWatch r="G50671"/>
    <cellWatch r="G50672"/>
    <cellWatch r="G50673"/>
    <cellWatch r="G50674"/>
    <cellWatch r="G50675"/>
    <cellWatch r="G50676"/>
    <cellWatch r="G50677"/>
    <cellWatch r="G50678"/>
    <cellWatch r="G50679"/>
    <cellWatch r="G50680"/>
    <cellWatch r="G50681"/>
    <cellWatch r="G50682"/>
    <cellWatch r="G50683"/>
    <cellWatch r="G50684"/>
    <cellWatch r="G50685"/>
    <cellWatch r="G50686"/>
    <cellWatch r="G50687"/>
    <cellWatch r="G50688"/>
    <cellWatch r="G50689"/>
    <cellWatch r="G50690"/>
    <cellWatch r="G50691"/>
    <cellWatch r="G50692"/>
    <cellWatch r="G50693"/>
    <cellWatch r="G50694"/>
    <cellWatch r="G50695"/>
    <cellWatch r="G50696"/>
    <cellWatch r="G50697"/>
    <cellWatch r="G50698"/>
    <cellWatch r="G50699"/>
    <cellWatch r="G50700"/>
    <cellWatch r="G50701"/>
    <cellWatch r="G50702"/>
    <cellWatch r="G50703"/>
    <cellWatch r="G50704"/>
    <cellWatch r="G50705"/>
    <cellWatch r="G50706"/>
    <cellWatch r="G50707"/>
    <cellWatch r="G50708"/>
    <cellWatch r="G50709"/>
    <cellWatch r="G50710"/>
    <cellWatch r="G50711"/>
    <cellWatch r="G50712"/>
    <cellWatch r="G50713"/>
    <cellWatch r="G50714"/>
    <cellWatch r="G50715"/>
    <cellWatch r="G50716"/>
    <cellWatch r="G50717"/>
    <cellWatch r="G50718"/>
    <cellWatch r="G50719"/>
    <cellWatch r="G50720"/>
    <cellWatch r="G50721"/>
    <cellWatch r="G50722"/>
    <cellWatch r="G50723"/>
    <cellWatch r="G50724"/>
    <cellWatch r="G50725"/>
    <cellWatch r="G50726"/>
    <cellWatch r="G50727"/>
    <cellWatch r="G50728"/>
    <cellWatch r="G50729"/>
    <cellWatch r="G50730"/>
    <cellWatch r="G50731"/>
    <cellWatch r="G50732"/>
    <cellWatch r="G50733"/>
    <cellWatch r="G50734"/>
    <cellWatch r="G50735"/>
    <cellWatch r="G50736"/>
    <cellWatch r="G50737"/>
    <cellWatch r="G50738"/>
    <cellWatch r="G50739"/>
    <cellWatch r="G50740"/>
    <cellWatch r="G50741"/>
    <cellWatch r="G50742"/>
    <cellWatch r="G50743"/>
    <cellWatch r="G50744"/>
    <cellWatch r="G50745"/>
    <cellWatch r="G50746"/>
    <cellWatch r="G50747"/>
    <cellWatch r="G50748"/>
    <cellWatch r="G50749"/>
    <cellWatch r="G50750"/>
    <cellWatch r="G50751"/>
    <cellWatch r="G50752"/>
    <cellWatch r="G50753"/>
    <cellWatch r="G50754"/>
    <cellWatch r="G50755"/>
    <cellWatch r="G50756"/>
    <cellWatch r="G50757"/>
    <cellWatch r="G50758"/>
    <cellWatch r="G50759"/>
    <cellWatch r="G50760"/>
    <cellWatch r="G50761"/>
    <cellWatch r="G50762"/>
    <cellWatch r="G50763"/>
    <cellWatch r="G50764"/>
    <cellWatch r="G50765"/>
    <cellWatch r="G50766"/>
    <cellWatch r="G50767"/>
    <cellWatch r="G50768"/>
    <cellWatch r="G50769"/>
    <cellWatch r="G50770"/>
    <cellWatch r="G50771"/>
    <cellWatch r="G50772"/>
    <cellWatch r="G50773"/>
    <cellWatch r="G50774"/>
    <cellWatch r="G50775"/>
    <cellWatch r="G50776"/>
    <cellWatch r="G50777"/>
    <cellWatch r="G50778"/>
    <cellWatch r="G50779"/>
    <cellWatch r="G50780"/>
    <cellWatch r="G50781"/>
    <cellWatch r="G50782"/>
    <cellWatch r="G50783"/>
    <cellWatch r="G50784"/>
    <cellWatch r="G50785"/>
    <cellWatch r="G50786"/>
    <cellWatch r="G50787"/>
    <cellWatch r="G50788"/>
    <cellWatch r="G50789"/>
    <cellWatch r="G50790"/>
    <cellWatch r="G50791"/>
    <cellWatch r="G50792"/>
    <cellWatch r="G50793"/>
    <cellWatch r="G50794"/>
    <cellWatch r="G50795"/>
    <cellWatch r="G50796"/>
    <cellWatch r="G50797"/>
    <cellWatch r="G50798"/>
    <cellWatch r="G50799"/>
    <cellWatch r="G50800"/>
    <cellWatch r="G50801"/>
    <cellWatch r="G50802"/>
    <cellWatch r="G50803"/>
    <cellWatch r="G50804"/>
    <cellWatch r="G50805"/>
    <cellWatch r="G50806"/>
    <cellWatch r="G50807"/>
    <cellWatch r="G50808"/>
    <cellWatch r="G50809"/>
    <cellWatch r="G50810"/>
    <cellWatch r="G50811"/>
    <cellWatch r="G50812"/>
    <cellWatch r="G50813"/>
    <cellWatch r="G50814"/>
    <cellWatch r="G50815"/>
    <cellWatch r="G50816"/>
    <cellWatch r="G50817"/>
    <cellWatch r="G50818"/>
    <cellWatch r="G50819"/>
    <cellWatch r="G50820"/>
    <cellWatch r="G50821"/>
    <cellWatch r="G50822"/>
    <cellWatch r="G50823"/>
    <cellWatch r="G50824"/>
    <cellWatch r="G50825"/>
    <cellWatch r="G50826"/>
    <cellWatch r="G50827"/>
    <cellWatch r="G50828"/>
    <cellWatch r="G50829"/>
    <cellWatch r="G50830"/>
    <cellWatch r="G50831"/>
    <cellWatch r="G50832"/>
    <cellWatch r="G50833"/>
    <cellWatch r="G50834"/>
    <cellWatch r="G50835"/>
    <cellWatch r="G50836"/>
    <cellWatch r="G50837"/>
    <cellWatch r="G50838"/>
    <cellWatch r="G50839"/>
    <cellWatch r="G50840"/>
    <cellWatch r="G50841"/>
    <cellWatch r="G50842"/>
    <cellWatch r="G50843"/>
    <cellWatch r="G50844"/>
    <cellWatch r="G50845"/>
    <cellWatch r="G50846"/>
    <cellWatch r="G50847"/>
    <cellWatch r="G50848"/>
    <cellWatch r="G50849"/>
    <cellWatch r="G50850"/>
    <cellWatch r="G50851"/>
    <cellWatch r="G50852"/>
    <cellWatch r="G50853"/>
    <cellWatch r="G50854"/>
    <cellWatch r="G50855"/>
    <cellWatch r="G50856"/>
    <cellWatch r="G50857"/>
    <cellWatch r="G50858"/>
    <cellWatch r="G50859"/>
    <cellWatch r="G50860"/>
    <cellWatch r="G50861"/>
    <cellWatch r="G50862"/>
    <cellWatch r="G50863"/>
    <cellWatch r="G50864"/>
    <cellWatch r="G50865"/>
    <cellWatch r="G50866"/>
    <cellWatch r="G50867"/>
    <cellWatch r="G50868"/>
    <cellWatch r="G50869"/>
    <cellWatch r="G50870"/>
    <cellWatch r="G50871"/>
    <cellWatch r="G50872"/>
    <cellWatch r="G50873"/>
    <cellWatch r="G50874"/>
    <cellWatch r="G50875"/>
    <cellWatch r="G50876"/>
    <cellWatch r="G50877"/>
    <cellWatch r="G50878"/>
    <cellWatch r="G50879"/>
    <cellWatch r="G50880"/>
    <cellWatch r="G50881"/>
    <cellWatch r="G50882"/>
    <cellWatch r="G50883"/>
    <cellWatch r="G50884"/>
    <cellWatch r="G50885"/>
    <cellWatch r="G50886"/>
    <cellWatch r="G50887"/>
    <cellWatch r="G50888"/>
    <cellWatch r="G50889"/>
    <cellWatch r="G50890"/>
    <cellWatch r="G50891"/>
    <cellWatch r="G50892"/>
    <cellWatch r="G50893"/>
    <cellWatch r="G50894"/>
    <cellWatch r="G50895"/>
    <cellWatch r="G50896"/>
    <cellWatch r="G50897"/>
    <cellWatch r="G50898"/>
    <cellWatch r="G50899"/>
    <cellWatch r="G50900"/>
    <cellWatch r="G50901"/>
    <cellWatch r="G50902"/>
    <cellWatch r="G50903"/>
    <cellWatch r="G50904"/>
    <cellWatch r="G50905"/>
    <cellWatch r="G50906"/>
    <cellWatch r="G50907"/>
    <cellWatch r="G50908"/>
    <cellWatch r="G50909"/>
    <cellWatch r="G50910"/>
    <cellWatch r="G50911"/>
    <cellWatch r="G50912"/>
    <cellWatch r="G50913"/>
    <cellWatch r="G50914"/>
    <cellWatch r="G50915"/>
    <cellWatch r="G50916"/>
    <cellWatch r="G50917"/>
    <cellWatch r="G50918"/>
    <cellWatch r="G50919"/>
    <cellWatch r="G50920"/>
    <cellWatch r="G50921"/>
    <cellWatch r="G50922"/>
    <cellWatch r="G50923"/>
    <cellWatch r="G50924"/>
    <cellWatch r="G50925"/>
    <cellWatch r="G50926"/>
    <cellWatch r="G50927"/>
    <cellWatch r="G50928"/>
    <cellWatch r="G50929"/>
    <cellWatch r="G50930"/>
    <cellWatch r="G50931"/>
    <cellWatch r="G50932"/>
    <cellWatch r="G50933"/>
    <cellWatch r="G50934"/>
    <cellWatch r="G50935"/>
    <cellWatch r="G50936"/>
    <cellWatch r="G50937"/>
    <cellWatch r="G50938"/>
    <cellWatch r="G50939"/>
    <cellWatch r="G50940"/>
    <cellWatch r="G50941"/>
    <cellWatch r="G50942"/>
    <cellWatch r="G50943"/>
    <cellWatch r="G50944"/>
    <cellWatch r="G50945"/>
    <cellWatch r="G50946"/>
    <cellWatch r="G50947"/>
    <cellWatch r="G50948"/>
    <cellWatch r="G50949"/>
    <cellWatch r="G50950"/>
    <cellWatch r="G50951"/>
    <cellWatch r="G50952"/>
    <cellWatch r="G50953"/>
    <cellWatch r="G50954"/>
    <cellWatch r="G50955"/>
    <cellWatch r="G50956"/>
    <cellWatch r="G50957"/>
    <cellWatch r="G50958"/>
    <cellWatch r="G50959"/>
    <cellWatch r="G50960"/>
    <cellWatch r="G50961"/>
    <cellWatch r="G50962"/>
    <cellWatch r="G50963"/>
    <cellWatch r="G50964"/>
    <cellWatch r="G50965"/>
    <cellWatch r="G50966"/>
    <cellWatch r="G50967"/>
    <cellWatch r="G50968"/>
    <cellWatch r="G50969"/>
    <cellWatch r="G50970"/>
    <cellWatch r="G50971"/>
    <cellWatch r="G50972"/>
    <cellWatch r="G50973"/>
    <cellWatch r="G50974"/>
    <cellWatch r="G50975"/>
    <cellWatch r="G50976"/>
    <cellWatch r="G50977"/>
    <cellWatch r="G50978"/>
    <cellWatch r="G50979"/>
    <cellWatch r="G50980"/>
    <cellWatch r="G50981"/>
    <cellWatch r="G50982"/>
    <cellWatch r="G50983"/>
    <cellWatch r="G50984"/>
    <cellWatch r="G50985"/>
    <cellWatch r="G50986"/>
    <cellWatch r="G50987"/>
    <cellWatch r="G50988"/>
    <cellWatch r="G50989"/>
    <cellWatch r="G50990"/>
    <cellWatch r="G50991"/>
    <cellWatch r="G50992"/>
    <cellWatch r="G50993"/>
    <cellWatch r="G50994"/>
    <cellWatch r="G50995"/>
    <cellWatch r="G50996"/>
    <cellWatch r="G50997"/>
    <cellWatch r="G50998"/>
    <cellWatch r="G50999"/>
    <cellWatch r="G51000"/>
    <cellWatch r="G51001"/>
    <cellWatch r="G51002"/>
    <cellWatch r="G51003"/>
    <cellWatch r="G51004"/>
    <cellWatch r="G51005"/>
    <cellWatch r="G51006"/>
    <cellWatch r="G51007"/>
    <cellWatch r="G51008"/>
    <cellWatch r="G51009"/>
    <cellWatch r="G51010"/>
    <cellWatch r="G51011"/>
    <cellWatch r="G51012"/>
    <cellWatch r="G51013"/>
    <cellWatch r="G51014"/>
    <cellWatch r="G51015"/>
    <cellWatch r="G51016"/>
    <cellWatch r="G51017"/>
    <cellWatch r="G51018"/>
    <cellWatch r="G51019"/>
    <cellWatch r="G51020"/>
    <cellWatch r="G51021"/>
    <cellWatch r="G51022"/>
    <cellWatch r="G51023"/>
    <cellWatch r="G51024"/>
    <cellWatch r="G51025"/>
    <cellWatch r="G51026"/>
    <cellWatch r="G51027"/>
    <cellWatch r="G51028"/>
    <cellWatch r="G51029"/>
    <cellWatch r="G51030"/>
    <cellWatch r="G51031"/>
    <cellWatch r="G51032"/>
    <cellWatch r="G51033"/>
    <cellWatch r="G51034"/>
    <cellWatch r="G51035"/>
    <cellWatch r="G51036"/>
    <cellWatch r="G51037"/>
    <cellWatch r="G51038"/>
    <cellWatch r="G51039"/>
    <cellWatch r="G51040"/>
    <cellWatch r="G51041"/>
    <cellWatch r="G51042"/>
    <cellWatch r="G51043"/>
    <cellWatch r="G51044"/>
    <cellWatch r="G51045"/>
    <cellWatch r="G51046"/>
    <cellWatch r="G51047"/>
    <cellWatch r="G51048"/>
    <cellWatch r="G51049"/>
    <cellWatch r="G51050"/>
    <cellWatch r="G51051"/>
    <cellWatch r="G51052"/>
    <cellWatch r="G51053"/>
    <cellWatch r="G51054"/>
    <cellWatch r="G51055"/>
    <cellWatch r="G51056"/>
    <cellWatch r="G51057"/>
    <cellWatch r="G51058"/>
    <cellWatch r="G51059"/>
    <cellWatch r="G51060"/>
    <cellWatch r="G51061"/>
    <cellWatch r="G51062"/>
    <cellWatch r="G51063"/>
    <cellWatch r="G51064"/>
    <cellWatch r="G51065"/>
    <cellWatch r="G51066"/>
    <cellWatch r="G51067"/>
    <cellWatch r="G51068"/>
    <cellWatch r="G51069"/>
    <cellWatch r="G51070"/>
    <cellWatch r="G51071"/>
    <cellWatch r="G51072"/>
    <cellWatch r="G51073"/>
    <cellWatch r="G51074"/>
    <cellWatch r="G51075"/>
    <cellWatch r="G51076"/>
    <cellWatch r="G51077"/>
    <cellWatch r="G51078"/>
    <cellWatch r="G51079"/>
    <cellWatch r="G51080"/>
    <cellWatch r="G51081"/>
    <cellWatch r="G51082"/>
    <cellWatch r="G51083"/>
    <cellWatch r="G51084"/>
    <cellWatch r="G51085"/>
    <cellWatch r="G51086"/>
    <cellWatch r="G51087"/>
    <cellWatch r="G51088"/>
    <cellWatch r="G51089"/>
    <cellWatch r="G51090"/>
    <cellWatch r="G51091"/>
    <cellWatch r="G51092"/>
    <cellWatch r="G51093"/>
    <cellWatch r="G51094"/>
    <cellWatch r="G51095"/>
    <cellWatch r="G51096"/>
    <cellWatch r="G51097"/>
    <cellWatch r="G51098"/>
    <cellWatch r="G51099"/>
    <cellWatch r="G51100"/>
    <cellWatch r="G51101"/>
    <cellWatch r="G51102"/>
    <cellWatch r="G51103"/>
    <cellWatch r="G51104"/>
    <cellWatch r="G51105"/>
    <cellWatch r="G51106"/>
    <cellWatch r="G51107"/>
    <cellWatch r="G51108"/>
    <cellWatch r="G51109"/>
    <cellWatch r="G51110"/>
    <cellWatch r="G51111"/>
    <cellWatch r="G51112"/>
    <cellWatch r="G51113"/>
    <cellWatch r="G51114"/>
    <cellWatch r="G51115"/>
    <cellWatch r="G51116"/>
    <cellWatch r="G51117"/>
    <cellWatch r="G51118"/>
    <cellWatch r="G51119"/>
    <cellWatch r="G51120"/>
    <cellWatch r="G51121"/>
    <cellWatch r="G51122"/>
    <cellWatch r="G51123"/>
    <cellWatch r="G51124"/>
    <cellWatch r="G51125"/>
    <cellWatch r="G51126"/>
    <cellWatch r="G51127"/>
    <cellWatch r="G51128"/>
    <cellWatch r="G51129"/>
    <cellWatch r="G51130"/>
    <cellWatch r="G51131"/>
    <cellWatch r="G51132"/>
    <cellWatch r="G51133"/>
    <cellWatch r="G51134"/>
    <cellWatch r="G51135"/>
    <cellWatch r="G51136"/>
    <cellWatch r="G51137"/>
    <cellWatch r="G51138"/>
    <cellWatch r="G51139"/>
    <cellWatch r="G51140"/>
    <cellWatch r="G51141"/>
    <cellWatch r="G51142"/>
    <cellWatch r="G51143"/>
    <cellWatch r="G51144"/>
    <cellWatch r="G51145"/>
    <cellWatch r="G51146"/>
    <cellWatch r="G51147"/>
    <cellWatch r="G51148"/>
    <cellWatch r="G51149"/>
    <cellWatch r="G51150"/>
    <cellWatch r="G51151"/>
    <cellWatch r="G51152"/>
    <cellWatch r="G51153"/>
    <cellWatch r="G51154"/>
    <cellWatch r="G51155"/>
    <cellWatch r="G51156"/>
    <cellWatch r="G51157"/>
    <cellWatch r="G51158"/>
    <cellWatch r="G51159"/>
    <cellWatch r="G51160"/>
    <cellWatch r="G51161"/>
    <cellWatch r="G51162"/>
    <cellWatch r="G51163"/>
    <cellWatch r="G51164"/>
    <cellWatch r="G51165"/>
    <cellWatch r="G51166"/>
    <cellWatch r="G51167"/>
    <cellWatch r="G51168"/>
    <cellWatch r="G51169"/>
    <cellWatch r="G51170"/>
    <cellWatch r="G51171"/>
    <cellWatch r="G51172"/>
    <cellWatch r="G51173"/>
    <cellWatch r="G51174"/>
    <cellWatch r="G51175"/>
    <cellWatch r="G51176"/>
    <cellWatch r="G51177"/>
    <cellWatch r="G51178"/>
    <cellWatch r="G51179"/>
    <cellWatch r="G51180"/>
    <cellWatch r="G51181"/>
    <cellWatch r="G51182"/>
    <cellWatch r="G51183"/>
    <cellWatch r="G51184"/>
    <cellWatch r="G51185"/>
    <cellWatch r="G51186"/>
    <cellWatch r="G51187"/>
    <cellWatch r="G51188"/>
    <cellWatch r="G51189"/>
    <cellWatch r="G51190"/>
    <cellWatch r="G51191"/>
    <cellWatch r="G51192"/>
    <cellWatch r="G51193"/>
    <cellWatch r="G51194"/>
    <cellWatch r="G51195"/>
    <cellWatch r="G51196"/>
    <cellWatch r="G51197"/>
    <cellWatch r="G51198"/>
    <cellWatch r="G51199"/>
    <cellWatch r="G51200"/>
    <cellWatch r="G51201"/>
    <cellWatch r="G51202"/>
    <cellWatch r="G51203"/>
    <cellWatch r="G51204"/>
    <cellWatch r="G51205"/>
    <cellWatch r="G51206"/>
    <cellWatch r="G51207"/>
    <cellWatch r="G51208"/>
    <cellWatch r="G51209"/>
    <cellWatch r="G51210"/>
    <cellWatch r="G51211"/>
    <cellWatch r="G51212"/>
    <cellWatch r="G51213"/>
    <cellWatch r="G51214"/>
    <cellWatch r="G51215"/>
    <cellWatch r="G51216"/>
    <cellWatch r="G51217"/>
    <cellWatch r="G51218"/>
    <cellWatch r="G51219"/>
    <cellWatch r="G51220"/>
    <cellWatch r="G51221"/>
    <cellWatch r="G51222"/>
    <cellWatch r="G51223"/>
    <cellWatch r="G51224"/>
    <cellWatch r="G51225"/>
    <cellWatch r="G51226"/>
    <cellWatch r="G51227"/>
    <cellWatch r="G51228"/>
    <cellWatch r="G51229"/>
    <cellWatch r="G51230"/>
    <cellWatch r="G51231"/>
    <cellWatch r="G51232"/>
    <cellWatch r="G51233"/>
    <cellWatch r="G51234"/>
    <cellWatch r="G51235"/>
    <cellWatch r="G51236"/>
    <cellWatch r="G51237"/>
    <cellWatch r="G51238"/>
    <cellWatch r="G51239"/>
    <cellWatch r="G51240"/>
    <cellWatch r="G51241"/>
    <cellWatch r="G51242"/>
    <cellWatch r="G51243"/>
    <cellWatch r="G51244"/>
    <cellWatch r="G51245"/>
    <cellWatch r="G51246"/>
    <cellWatch r="G51247"/>
    <cellWatch r="G51248"/>
    <cellWatch r="G51249"/>
    <cellWatch r="G51250"/>
    <cellWatch r="G51251"/>
    <cellWatch r="G51252"/>
    <cellWatch r="G51253"/>
    <cellWatch r="G51254"/>
    <cellWatch r="G51255"/>
    <cellWatch r="G51256"/>
    <cellWatch r="G51257"/>
    <cellWatch r="G51258"/>
    <cellWatch r="G51259"/>
    <cellWatch r="G51260"/>
    <cellWatch r="G51261"/>
    <cellWatch r="G51262"/>
    <cellWatch r="G51263"/>
    <cellWatch r="G51264"/>
    <cellWatch r="G51265"/>
    <cellWatch r="G51266"/>
    <cellWatch r="G51267"/>
    <cellWatch r="G51268"/>
    <cellWatch r="G51269"/>
    <cellWatch r="G51270"/>
    <cellWatch r="G51271"/>
    <cellWatch r="G51272"/>
    <cellWatch r="G51273"/>
    <cellWatch r="G51274"/>
    <cellWatch r="G51275"/>
    <cellWatch r="G51276"/>
    <cellWatch r="G51277"/>
    <cellWatch r="G51278"/>
    <cellWatch r="G51279"/>
    <cellWatch r="G51280"/>
    <cellWatch r="G51281"/>
    <cellWatch r="G51282"/>
    <cellWatch r="G51283"/>
    <cellWatch r="G51284"/>
    <cellWatch r="G51285"/>
    <cellWatch r="G51286"/>
    <cellWatch r="G51287"/>
    <cellWatch r="G51288"/>
    <cellWatch r="G51289"/>
    <cellWatch r="G51290"/>
    <cellWatch r="G51291"/>
    <cellWatch r="G51292"/>
    <cellWatch r="G51293"/>
    <cellWatch r="G51294"/>
    <cellWatch r="G51295"/>
    <cellWatch r="G51296"/>
    <cellWatch r="G51297"/>
    <cellWatch r="G51298"/>
    <cellWatch r="G51299"/>
    <cellWatch r="G51300"/>
    <cellWatch r="G51301"/>
    <cellWatch r="G51302"/>
    <cellWatch r="G51303"/>
    <cellWatch r="G51304"/>
    <cellWatch r="G51305"/>
    <cellWatch r="G51306"/>
    <cellWatch r="G51307"/>
    <cellWatch r="G51308"/>
    <cellWatch r="G51309"/>
    <cellWatch r="G51310"/>
    <cellWatch r="G51311"/>
    <cellWatch r="G51312"/>
    <cellWatch r="G51313"/>
    <cellWatch r="G51314"/>
    <cellWatch r="G51315"/>
    <cellWatch r="G51316"/>
    <cellWatch r="G51317"/>
    <cellWatch r="G51318"/>
    <cellWatch r="G51319"/>
    <cellWatch r="G51320"/>
    <cellWatch r="G51321"/>
    <cellWatch r="G51322"/>
    <cellWatch r="G51323"/>
    <cellWatch r="G51324"/>
    <cellWatch r="G51325"/>
    <cellWatch r="G51326"/>
    <cellWatch r="G51327"/>
    <cellWatch r="G51328"/>
    <cellWatch r="G51329"/>
    <cellWatch r="G51330"/>
    <cellWatch r="G51331"/>
    <cellWatch r="G51332"/>
    <cellWatch r="G51333"/>
    <cellWatch r="G51334"/>
    <cellWatch r="G51335"/>
    <cellWatch r="G51336"/>
    <cellWatch r="G51337"/>
    <cellWatch r="G51338"/>
    <cellWatch r="G51339"/>
    <cellWatch r="G51340"/>
    <cellWatch r="G51341"/>
    <cellWatch r="G51342"/>
    <cellWatch r="G51343"/>
    <cellWatch r="G51344"/>
    <cellWatch r="G51345"/>
    <cellWatch r="G51346"/>
    <cellWatch r="G51347"/>
    <cellWatch r="G51348"/>
    <cellWatch r="G51349"/>
    <cellWatch r="G51350"/>
    <cellWatch r="G51351"/>
    <cellWatch r="G51352"/>
    <cellWatch r="G51353"/>
    <cellWatch r="G51354"/>
    <cellWatch r="G51355"/>
    <cellWatch r="G51356"/>
    <cellWatch r="G51357"/>
    <cellWatch r="G51358"/>
    <cellWatch r="G51359"/>
    <cellWatch r="G51360"/>
    <cellWatch r="G51361"/>
    <cellWatch r="G51362"/>
    <cellWatch r="G51363"/>
    <cellWatch r="G51364"/>
    <cellWatch r="G51365"/>
    <cellWatch r="G51366"/>
    <cellWatch r="G51367"/>
    <cellWatch r="G51368"/>
    <cellWatch r="G51369"/>
    <cellWatch r="G51370"/>
    <cellWatch r="G51371"/>
    <cellWatch r="G51372"/>
    <cellWatch r="G51373"/>
    <cellWatch r="G51374"/>
    <cellWatch r="G51375"/>
    <cellWatch r="G51376"/>
    <cellWatch r="G51377"/>
    <cellWatch r="G51378"/>
    <cellWatch r="G51379"/>
    <cellWatch r="G51380"/>
    <cellWatch r="G51381"/>
    <cellWatch r="G51382"/>
    <cellWatch r="G51383"/>
    <cellWatch r="G51384"/>
    <cellWatch r="G51385"/>
    <cellWatch r="G51386"/>
    <cellWatch r="G51387"/>
    <cellWatch r="G51388"/>
    <cellWatch r="G51389"/>
    <cellWatch r="G51390"/>
    <cellWatch r="G51391"/>
    <cellWatch r="G51392"/>
    <cellWatch r="G51393"/>
    <cellWatch r="G51394"/>
    <cellWatch r="G51395"/>
    <cellWatch r="G51396"/>
    <cellWatch r="G51397"/>
    <cellWatch r="G51398"/>
    <cellWatch r="G51399"/>
    <cellWatch r="G51400"/>
    <cellWatch r="G51401"/>
    <cellWatch r="G51402"/>
    <cellWatch r="G51403"/>
    <cellWatch r="G51404"/>
    <cellWatch r="G51405"/>
    <cellWatch r="G51406"/>
    <cellWatch r="G51407"/>
    <cellWatch r="G51408"/>
    <cellWatch r="G51409"/>
    <cellWatch r="G51410"/>
    <cellWatch r="G51411"/>
    <cellWatch r="G51412"/>
    <cellWatch r="G51413"/>
    <cellWatch r="G51414"/>
    <cellWatch r="G51415"/>
    <cellWatch r="G51416"/>
    <cellWatch r="G51417"/>
    <cellWatch r="G51418"/>
    <cellWatch r="G51419"/>
    <cellWatch r="G51420"/>
    <cellWatch r="G51421"/>
    <cellWatch r="G51422"/>
    <cellWatch r="G51423"/>
    <cellWatch r="G51424"/>
    <cellWatch r="G51425"/>
    <cellWatch r="G51426"/>
    <cellWatch r="G51427"/>
    <cellWatch r="G51428"/>
    <cellWatch r="G51429"/>
    <cellWatch r="G51430"/>
    <cellWatch r="G51431"/>
    <cellWatch r="G51432"/>
    <cellWatch r="G51433"/>
    <cellWatch r="G51434"/>
    <cellWatch r="G51435"/>
    <cellWatch r="G51436"/>
    <cellWatch r="G51437"/>
    <cellWatch r="G51438"/>
    <cellWatch r="G51439"/>
    <cellWatch r="G51440"/>
    <cellWatch r="G51441"/>
    <cellWatch r="G51442"/>
    <cellWatch r="G51443"/>
    <cellWatch r="G51444"/>
    <cellWatch r="G51445"/>
    <cellWatch r="G51446"/>
    <cellWatch r="G51447"/>
    <cellWatch r="G51448"/>
    <cellWatch r="G51449"/>
    <cellWatch r="G51450"/>
    <cellWatch r="G51451"/>
    <cellWatch r="G51452"/>
    <cellWatch r="G51453"/>
    <cellWatch r="G51454"/>
    <cellWatch r="G51455"/>
    <cellWatch r="G51456"/>
    <cellWatch r="G51457"/>
    <cellWatch r="G51458"/>
    <cellWatch r="G51459"/>
    <cellWatch r="G51460"/>
    <cellWatch r="G51461"/>
    <cellWatch r="G51462"/>
    <cellWatch r="G51463"/>
    <cellWatch r="G51464"/>
    <cellWatch r="G51465"/>
    <cellWatch r="G51466"/>
    <cellWatch r="G51467"/>
    <cellWatch r="G51468"/>
    <cellWatch r="G51469"/>
    <cellWatch r="G51470"/>
    <cellWatch r="G51471"/>
    <cellWatch r="G51472"/>
    <cellWatch r="G51473"/>
    <cellWatch r="G51474"/>
    <cellWatch r="G51475"/>
    <cellWatch r="G51476"/>
    <cellWatch r="G51477"/>
    <cellWatch r="G51478"/>
    <cellWatch r="G51479"/>
    <cellWatch r="G51480"/>
    <cellWatch r="G51481"/>
    <cellWatch r="G51482"/>
    <cellWatch r="G51483"/>
    <cellWatch r="G51484"/>
    <cellWatch r="G51485"/>
    <cellWatch r="G51486"/>
    <cellWatch r="G51487"/>
    <cellWatch r="G51488"/>
    <cellWatch r="G51489"/>
    <cellWatch r="G51490"/>
    <cellWatch r="G51491"/>
    <cellWatch r="G51492"/>
    <cellWatch r="G51493"/>
    <cellWatch r="G51494"/>
    <cellWatch r="G51495"/>
    <cellWatch r="G51496"/>
    <cellWatch r="G51497"/>
    <cellWatch r="G51498"/>
    <cellWatch r="G51499"/>
    <cellWatch r="G51500"/>
    <cellWatch r="G51501"/>
    <cellWatch r="G51502"/>
    <cellWatch r="G51503"/>
    <cellWatch r="G51504"/>
    <cellWatch r="G51505"/>
    <cellWatch r="G51506"/>
    <cellWatch r="G51507"/>
    <cellWatch r="G51508"/>
    <cellWatch r="G51509"/>
    <cellWatch r="G51510"/>
    <cellWatch r="G51511"/>
    <cellWatch r="G51512"/>
    <cellWatch r="G51513"/>
    <cellWatch r="G51514"/>
    <cellWatch r="G51515"/>
    <cellWatch r="G51516"/>
    <cellWatch r="G51517"/>
    <cellWatch r="G51518"/>
    <cellWatch r="G51519"/>
    <cellWatch r="G51520"/>
    <cellWatch r="G51521"/>
    <cellWatch r="G51522"/>
    <cellWatch r="G51523"/>
    <cellWatch r="G51524"/>
    <cellWatch r="G51525"/>
    <cellWatch r="G51526"/>
    <cellWatch r="G51527"/>
    <cellWatch r="G51528"/>
    <cellWatch r="G51529"/>
    <cellWatch r="G51530"/>
    <cellWatch r="G51531"/>
    <cellWatch r="G51532"/>
    <cellWatch r="G51533"/>
    <cellWatch r="G51534"/>
    <cellWatch r="G51535"/>
    <cellWatch r="G51536"/>
    <cellWatch r="G51537"/>
    <cellWatch r="G51538"/>
    <cellWatch r="G51539"/>
    <cellWatch r="G51540"/>
    <cellWatch r="G51541"/>
    <cellWatch r="G51542"/>
    <cellWatch r="G51543"/>
    <cellWatch r="G51544"/>
    <cellWatch r="G51545"/>
    <cellWatch r="G51546"/>
    <cellWatch r="G51547"/>
    <cellWatch r="G51548"/>
    <cellWatch r="G51549"/>
    <cellWatch r="G51550"/>
    <cellWatch r="G51551"/>
    <cellWatch r="G51552"/>
    <cellWatch r="G51553"/>
    <cellWatch r="G51554"/>
    <cellWatch r="G51555"/>
    <cellWatch r="G51556"/>
    <cellWatch r="G51557"/>
    <cellWatch r="G51558"/>
    <cellWatch r="G51559"/>
    <cellWatch r="G51560"/>
    <cellWatch r="G51561"/>
    <cellWatch r="G51562"/>
    <cellWatch r="G51563"/>
    <cellWatch r="G51564"/>
    <cellWatch r="G51565"/>
    <cellWatch r="G51566"/>
    <cellWatch r="G51567"/>
    <cellWatch r="G51568"/>
    <cellWatch r="G51569"/>
    <cellWatch r="G51570"/>
    <cellWatch r="G51571"/>
    <cellWatch r="G51572"/>
    <cellWatch r="G51573"/>
    <cellWatch r="G51574"/>
    <cellWatch r="G51575"/>
    <cellWatch r="G51576"/>
    <cellWatch r="G51577"/>
    <cellWatch r="G51578"/>
    <cellWatch r="G51579"/>
    <cellWatch r="G51580"/>
    <cellWatch r="G51581"/>
    <cellWatch r="G51582"/>
    <cellWatch r="G51583"/>
    <cellWatch r="G51584"/>
    <cellWatch r="G51585"/>
    <cellWatch r="G51586"/>
    <cellWatch r="G51587"/>
    <cellWatch r="G51588"/>
    <cellWatch r="G51589"/>
    <cellWatch r="G51590"/>
    <cellWatch r="G51591"/>
    <cellWatch r="G51592"/>
    <cellWatch r="G51593"/>
    <cellWatch r="G51594"/>
    <cellWatch r="G51595"/>
    <cellWatch r="G51596"/>
    <cellWatch r="G51597"/>
    <cellWatch r="G51598"/>
    <cellWatch r="G51599"/>
    <cellWatch r="G51600"/>
    <cellWatch r="G51601"/>
    <cellWatch r="G51602"/>
    <cellWatch r="G51603"/>
    <cellWatch r="G51604"/>
    <cellWatch r="G51605"/>
    <cellWatch r="G51606"/>
    <cellWatch r="G51607"/>
    <cellWatch r="G51608"/>
    <cellWatch r="G51609"/>
    <cellWatch r="G51610"/>
    <cellWatch r="G51611"/>
    <cellWatch r="G51612"/>
    <cellWatch r="G51613"/>
    <cellWatch r="G51614"/>
    <cellWatch r="G51615"/>
    <cellWatch r="G51616"/>
    <cellWatch r="G51617"/>
    <cellWatch r="G51618"/>
    <cellWatch r="G51619"/>
    <cellWatch r="G51620"/>
    <cellWatch r="G51621"/>
    <cellWatch r="G51622"/>
    <cellWatch r="G51623"/>
    <cellWatch r="G51624"/>
    <cellWatch r="G51625"/>
    <cellWatch r="G51626"/>
    <cellWatch r="G51627"/>
    <cellWatch r="G51628"/>
    <cellWatch r="G51629"/>
    <cellWatch r="G51630"/>
    <cellWatch r="G51631"/>
    <cellWatch r="G51632"/>
    <cellWatch r="G51633"/>
    <cellWatch r="G51634"/>
    <cellWatch r="G51635"/>
    <cellWatch r="G51636"/>
    <cellWatch r="G51637"/>
    <cellWatch r="G51638"/>
    <cellWatch r="G51639"/>
    <cellWatch r="G51640"/>
    <cellWatch r="G51641"/>
    <cellWatch r="G51642"/>
    <cellWatch r="G51643"/>
    <cellWatch r="G51644"/>
    <cellWatch r="G51645"/>
    <cellWatch r="G51646"/>
    <cellWatch r="G51647"/>
    <cellWatch r="G51648"/>
    <cellWatch r="G51649"/>
    <cellWatch r="G51650"/>
    <cellWatch r="G51651"/>
    <cellWatch r="G51652"/>
    <cellWatch r="G51653"/>
    <cellWatch r="G51654"/>
    <cellWatch r="G51655"/>
    <cellWatch r="G51656"/>
    <cellWatch r="G51657"/>
    <cellWatch r="G51658"/>
    <cellWatch r="G51659"/>
    <cellWatch r="G51660"/>
    <cellWatch r="G51661"/>
    <cellWatch r="G51662"/>
    <cellWatch r="G51663"/>
    <cellWatch r="G51664"/>
    <cellWatch r="G51665"/>
    <cellWatch r="G51666"/>
    <cellWatch r="G51667"/>
    <cellWatch r="G51668"/>
    <cellWatch r="G51669"/>
    <cellWatch r="G51670"/>
    <cellWatch r="G51671"/>
    <cellWatch r="G51672"/>
    <cellWatch r="G51673"/>
    <cellWatch r="G51674"/>
    <cellWatch r="G51675"/>
    <cellWatch r="G51676"/>
    <cellWatch r="G51677"/>
    <cellWatch r="G51678"/>
    <cellWatch r="G51679"/>
    <cellWatch r="G51680"/>
    <cellWatch r="G51681"/>
    <cellWatch r="G51682"/>
    <cellWatch r="G51683"/>
    <cellWatch r="G51684"/>
    <cellWatch r="G51685"/>
    <cellWatch r="G51686"/>
    <cellWatch r="G51687"/>
    <cellWatch r="G51688"/>
    <cellWatch r="G51689"/>
    <cellWatch r="G51690"/>
    <cellWatch r="G51691"/>
    <cellWatch r="G51692"/>
    <cellWatch r="G51693"/>
    <cellWatch r="G51694"/>
    <cellWatch r="G51695"/>
    <cellWatch r="G51696"/>
    <cellWatch r="G51697"/>
    <cellWatch r="G51698"/>
    <cellWatch r="G51699"/>
    <cellWatch r="G51700"/>
    <cellWatch r="G51701"/>
    <cellWatch r="G51702"/>
    <cellWatch r="G51703"/>
    <cellWatch r="G51704"/>
    <cellWatch r="G51705"/>
    <cellWatch r="G51706"/>
    <cellWatch r="G51707"/>
    <cellWatch r="G51708"/>
    <cellWatch r="G51709"/>
    <cellWatch r="G51710"/>
    <cellWatch r="G51711"/>
    <cellWatch r="G51712"/>
    <cellWatch r="G51713"/>
    <cellWatch r="G51714"/>
    <cellWatch r="G51715"/>
    <cellWatch r="G51716"/>
    <cellWatch r="G51717"/>
    <cellWatch r="G51718"/>
    <cellWatch r="G51719"/>
    <cellWatch r="G51720"/>
    <cellWatch r="G51721"/>
    <cellWatch r="G51722"/>
    <cellWatch r="G51723"/>
    <cellWatch r="G51724"/>
    <cellWatch r="G51725"/>
    <cellWatch r="G51726"/>
    <cellWatch r="G51727"/>
    <cellWatch r="G51728"/>
    <cellWatch r="G51729"/>
    <cellWatch r="G51730"/>
    <cellWatch r="G51731"/>
    <cellWatch r="G51732"/>
    <cellWatch r="G51733"/>
    <cellWatch r="G51734"/>
    <cellWatch r="G51735"/>
    <cellWatch r="G51736"/>
    <cellWatch r="G51737"/>
    <cellWatch r="G51738"/>
    <cellWatch r="G51739"/>
    <cellWatch r="G51740"/>
    <cellWatch r="G51741"/>
    <cellWatch r="G51742"/>
    <cellWatch r="G51743"/>
    <cellWatch r="G51744"/>
    <cellWatch r="G51745"/>
    <cellWatch r="G51746"/>
    <cellWatch r="G51747"/>
    <cellWatch r="G51748"/>
    <cellWatch r="G51749"/>
    <cellWatch r="G51750"/>
    <cellWatch r="G51751"/>
    <cellWatch r="G51752"/>
    <cellWatch r="G51753"/>
    <cellWatch r="G51754"/>
    <cellWatch r="G51755"/>
    <cellWatch r="G51756"/>
    <cellWatch r="G51757"/>
    <cellWatch r="G51758"/>
    <cellWatch r="G51759"/>
    <cellWatch r="G51760"/>
    <cellWatch r="G51761"/>
    <cellWatch r="G51762"/>
    <cellWatch r="G51763"/>
    <cellWatch r="G51764"/>
    <cellWatch r="G51765"/>
    <cellWatch r="G51766"/>
    <cellWatch r="G51767"/>
    <cellWatch r="G51768"/>
    <cellWatch r="G51769"/>
    <cellWatch r="G51770"/>
    <cellWatch r="G51771"/>
    <cellWatch r="G51772"/>
    <cellWatch r="G51773"/>
    <cellWatch r="G51774"/>
    <cellWatch r="G51775"/>
    <cellWatch r="G51776"/>
    <cellWatch r="G51777"/>
    <cellWatch r="G51778"/>
    <cellWatch r="G51779"/>
    <cellWatch r="G51780"/>
    <cellWatch r="G51781"/>
    <cellWatch r="G51782"/>
    <cellWatch r="G51783"/>
    <cellWatch r="G51784"/>
    <cellWatch r="G51785"/>
    <cellWatch r="G51786"/>
    <cellWatch r="G51787"/>
    <cellWatch r="G51788"/>
    <cellWatch r="G51789"/>
    <cellWatch r="G51790"/>
    <cellWatch r="G51791"/>
    <cellWatch r="G51792"/>
    <cellWatch r="G51793"/>
    <cellWatch r="G51794"/>
    <cellWatch r="G51795"/>
    <cellWatch r="G51796"/>
    <cellWatch r="G51797"/>
    <cellWatch r="G51798"/>
    <cellWatch r="G51799"/>
    <cellWatch r="G51800"/>
    <cellWatch r="G51801"/>
    <cellWatch r="G51802"/>
    <cellWatch r="G51803"/>
    <cellWatch r="G51804"/>
    <cellWatch r="G51805"/>
    <cellWatch r="G51806"/>
    <cellWatch r="G51807"/>
    <cellWatch r="G51808"/>
    <cellWatch r="G51809"/>
    <cellWatch r="G51810"/>
    <cellWatch r="G51811"/>
    <cellWatch r="G51812"/>
    <cellWatch r="G51813"/>
    <cellWatch r="G51814"/>
    <cellWatch r="G51815"/>
    <cellWatch r="G51816"/>
    <cellWatch r="G51817"/>
    <cellWatch r="G51818"/>
    <cellWatch r="G51819"/>
    <cellWatch r="G51820"/>
    <cellWatch r="G51821"/>
    <cellWatch r="G51822"/>
    <cellWatch r="G51823"/>
    <cellWatch r="G51824"/>
    <cellWatch r="G51825"/>
    <cellWatch r="G51826"/>
    <cellWatch r="G51827"/>
    <cellWatch r="G51828"/>
    <cellWatch r="G51829"/>
    <cellWatch r="G51830"/>
    <cellWatch r="G51831"/>
    <cellWatch r="G51832"/>
    <cellWatch r="G51833"/>
    <cellWatch r="G51834"/>
    <cellWatch r="G51835"/>
    <cellWatch r="G51836"/>
    <cellWatch r="G51837"/>
    <cellWatch r="G51838"/>
    <cellWatch r="G51839"/>
    <cellWatch r="G51840"/>
    <cellWatch r="G51841"/>
    <cellWatch r="G51842"/>
    <cellWatch r="G51843"/>
    <cellWatch r="G51844"/>
    <cellWatch r="G51845"/>
    <cellWatch r="G51846"/>
    <cellWatch r="G51847"/>
    <cellWatch r="G51848"/>
    <cellWatch r="G51849"/>
    <cellWatch r="G51850"/>
    <cellWatch r="G51851"/>
    <cellWatch r="G51852"/>
    <cellWatch r="G51853"/>
    <cellWatch r="G51854"/>
    <cellWatch r="G51855"/>
    <cellWatch r="G51856"/>
    <cellWatch r="G51857"/>
    <cellWatch r="G51858"/>
    <cellWatch r="G51859"/>
    <cellWatch r="G51860"/>
    <cellWatch r="G51861"/>
    <cellWatch r="G51862"/>
    <cellWatch r="G51863"/>
    <cellWatch r="G51864"/>
    <cellWatch r="G51865"/>
    <cellWatch r="G51866"/>
    <cellWatch r="G51867"/>
    <cellWatch r="G51868"/>
    <cellWatch r="G51869"/>
    <cellWatch r="G51870"/>
    <cellWatch r="G51871"/>
    <cellWatch r="G51872"/>
    <cellWatch r="G51873"/>
    <cellWatch r="G51874"/>
    <cellWatch r="G51875"/>
    <cellWatch r="G51876"/>
    <cellWatch r="G51877"/>
    <cellWatch r="G51878"/>
    <cellWatch r="G51879"/>
    <cellWatch r="G51880"/>
    <cellWatch r="G51881"/>
    <cellWatch r="G51882"/>
    <cellWatch r="G51883"/>
    <cellWatch r="G51884"/>
    <cellWatch r="G51885"/>
    <cellWatch r="G51886"/>
    <cellWatch r="G51887"/>
    <cellWatch r="G51888"/>
    <cellWatch r="G51889"/>
    <cellWatch r="G51890"/>
    <cellWatch r="G51891"/>
    <cellWatch r="G51892"/>
    <cellWatch r="G51893"/>
    <cellWatch r="G51894"/>
    <cellWatch r="G51895"/>
    <cellWatch r="G51896"/>
    <cellWatch r="G51897"/>
    <cellWatch r="G51898"/>
    <cellWatch r="G51899"/>
    <cellWatch r="G51900"/>
    <cellWatch r="G51901"/>
    <cellWatch r="G51902"/>
    <cellWatch r="G51903"/>
    <cellWatch r="G51904"/>
    <cellWatch r="G51905"/>
    <cellWatch r="G51906"/>
    <cellWatch r="G51907"/>
    <cellWatch r="G51908"/>
    <cellWatch r="G51909"/>
    <cellWatch r="G51910"/>
    <cellWatch r="G51911"/>
    <cellWatch r="G51912"/>
    <cellWatch r="G51913"/>
    <cellWatch r="G51914"/>
    <cellWatch r="G51915"/>
    <cellWatch r="G51916"/>
    <cellWatch r="G51917"/>
    <cellWatch r="G51918"/>
    <cellWatch r="G51919"/>
    <cellWatch r="G51920"/>
    <cellWatch r="G51921"/>
    <cellWatch r="G51922"/>
    <cellWatch r="G51923"/>
    <cellWatch r="G51924"/>
    <cellWatch r="G51925"/>
    <cellWatch r="G51926"/>
    <cellWatch r="G51927"/>
    <cellWatch r="G51928"/>
    <cellWatch r="G51929"/>
    <cellWatch r="G51930"/>
    <cellWatch r="G51931"/>
    <cellWatch r="G51932"/>
    <cellWatch r="G51933"/>
    <cellWatch r="G51934"/>
    <cellWatch r="G51935"/>
    <cellWatch r="G51936"/>
    <cellWatch r="G51937"/>
    <cellWatch r="G51938"/>
    <cellWatch r="G51939"/>
    <cellWatch r="G51940"/>
    <cellWatch r="G51941"/>
    <cellWatch r="G51942"/>
    <cellWatch r="G51943"/>
    <cellWatch r="G51944"/>
    <cellWatch r="G51945"/>
    <cellWatch r="G51946"/>
    <cellWatch r="G51947"/>
    <cellWatch r="G51948"/>
    <cellWatch r="G51949"/>
    <cellWatch r="G51950"/>
    <cellWatch r="G51951"/>
    <cellWatch r="G51952"/>
    <cellWatch r="G51953"/>
    <cellWatch r="G51954"/>
    <cellWatch r="G51955"/>
    <cellWatch r="G51956"/>
    <cellWatch r="G51957"/>
    <cellWatch r="G51958"/>
    <cellWatch r="G51959"/>
    <cellWatch r="G51960"/>
    <cellWatch r="G51961"/>
    <cellWatch r="G51962"/>
    <cellWatch r="G51963"/>
    <cellWatch r="G51964"/>
    <cellWatch r="G51965"/>
    <cellWatch r="G51966"/>
    <cellWatch r="G51967"/>
    <cellWatch r="G51968"/>
    <cellWatch r="G51969"/>
    <cellWatch r="G51970"/>
    <cellWatch r="G51971"/>
    <cellWatch r="G51972"/>
    <cellWatch r="G51973"/>
    <cellWatch r="G51974"/>
    <cellWatch r="G51975"/>
    <cellWatch r="G51976"/>
    <cellWatch r="G51977"/>
    <cellWatch r="G51978"/>
    <cellWatch r="G51979"/>
    <cellWatch r="G51980"/>
    <cellWatch r="G51981"/>
    <cellWatch r="G51982"/>
    <cellWatch r="G51983"/>
    <cellWatch r="G51984"/>
    <cellWatch r="G51985"/>
    <cellWatch r="G51986"/>
    <cellWatch r="G51987"/>
    <cellWatch r="G51988"/>
    <cellWatch r="G51989"/>
    <cellWatch r="G51990"/>
    <cellWatch r="G51991"/>
    <cellWatch r="G51992"/>
    <cellWatch r="G51993"/>
    <cellWatch r="G51994"/>
    <cellWatch r="G51995"/>
    <cellWatch r="G51996"/>
    <cellWatch r="G51997"/>
    <cellWatch r="G51998"/>
    <cellWatch r="G51999"/>
    <cellWatch r="G52000"/>
    <cellWatch r="G52001"/>
    <cellWatch r="G52002"/>
    <cellWatch r="G52003"/>
    <cellWatch r="G52004"/>
    <cellWatch r="G52005"/>
    <cellWatch r="G52006"/>
    <cellWatch r="G52007"/>
    <cellWatch r="G52008"/>
    <cellWatch r="G52009"/>
    <cellWatch r="G52010"/>
    <cellWatch r="G52011"/>
    <cellWatch r="G52012"/>
    <cellWatch r="G52013"/>
    <cellWatch r="G52014"/>
    <cellWatch r="G52015"/>
    <cellWatch r="G52016"/>
    <cellWatch r="G52017"/>
    <cellWatch r="G52018"/>
    <cellWatch r="G52019"/>
    <cellWatch r="G52020"/>
    <cellWatch r="G52021"/>
    <cellWatch r="G52022"/>
    <cellWatch r="G52023"/>
    <cellWatch r="G52024"/>
    <cellWatch r="G52025"/>
    <cellWatch r="G52026"/>
    <cellWatch r="G52027"/>
    <cellWatch r="G52028"/>
    <cellWatch r="G52029"/>
    <cellWatch r="G52030"/>
    <cellWatch r="G52031"/>
    <cellWatch r="G52032"/>
    <cellWatch r="G52033"/>
    <cellWatch r="G52034"/>
    <cellWatch r="G52035"/>
    <cellWatch r="G52036"/>
    <cellWatch r="G52037"/>
    <cellWatch r="G52038"/>
    <cellWatch r="G52039"/>
    <cellWatch r="G52040"/>
    <cellWatch r="G52041"/>
    <cellWatch r="G52042"/>
    <cellWatch r="G52043"/>
    <cellWatch r="G52044"/>
    <cellWatch r="G52045"/>
    <cellWatch r="G52046"/>
    <cellWatch r="G52047"/>
    <cellWatch r="G52048"/>
    <cellWatch r="G52049"/>
    <cellWatch r="G52050"/>
    <cellWatch r="G52051"/>
    <cellWatch r="G52052"/>
    <cellWatch r="G52053"/>
    <cellWatch r="G52054"/>
    <cellWatch r="G52055"/>
    <cellWatch r="G52056"/>
    <cellWatch r="G52057"/>
    <cellWatch r="G52058"/>
    <cellWatch r="G52059"/>
    <cellWatch r="G52060"/>
    <cellWatch r="G52061"/>
    <cellWatch r="G52062"/>
    <cellWatch r="G52063"/>
    <cellWatch r="G52064"/>
    <cellWatch r="G52065"/>
    <cellWatch r="G52066"/>
    <cellWatch r="G52067"/>
    <cellWatch r="G52068"/>
    <cellWatch r="G52069"/>
    <cellWatch r="G52070"/>
    <cellWatch r="G52071"/>
    <cellWatch r="G52072"/>
    <cellWatch r="G52073"/>
    <cellWatch r="G52074"/>
    <cellWatch r="G52075"/>
    <cellWatch r="G52076"/>
    <cellWatch r="G52077"/>
    <cellWatch r="G52078"/>
    <cellWatch r="G52079"/>
    <cellWatch r="G52080"/>
    <cellWatch r="G52081"/>
    <cellWatch r="G52082"/>
    <cellWatch r="G52083"/>
    <cellWatch r="G52084"/>
    <cellWatch r="G52085"/>
    <cellWatch r="G52086"/>
    <cellWatch r="G52087"/>
    <cellWatch r="G52088"/>
    <cellWatch r="G52089"/>
    <cellWatch r="G52090"/>
    <cellWatch r="G52091"/>
    <cellWatch r="G52092"/>
    <cellWatch r="G52093"/>
    <cellWatch r="G52094"/>
    <cellWatch r="G52095"/>
    <cellWatch r="G52096"/>
    <cellWatch r="G52097"/>
    <cellWatch r="G52098"/>
    <cellWatch r="G52099"/>
    <cellWatch r="G52100"/>
    <cellWatch r="G52101"/>
    <cellWatch r="G52102"/>
    <cellWatch r="G52103"/>
    <cellWatch r="G52104"/>
    <cellWatch r="G52105"/>
    <cellWatch r="G52106"/>
    <cellWatch r="G52107"/>
    <cellWatch r="G52108"/>
    <cellWatch r="G52109"/>
    <cellWatch r="G52110"/>
    <cellWatch r="G52111"/>
    <cellWatch r="G52112"/>
    <cellWatch r="G52113"/>
    <cellWatch r="G52114"/>
    <cellWatch r="G52115"/>
    <cellWatch r="G52116"/>
    <cellWatch r="G52117"/>
    <cellWatch r="G52118"/>
    <cellWatch r="G52119"/>
    <cellWatch r="G52120"/>
    <cellWatch r="G52121"/>
    <cellWatch r="G52122"/>
    <cellWatch r="G52123"/>
    <cellWatch r="G52124"/>
    <cellWatch r="G52125"/>
    <cellWatch r="G52126"/>
    <cellWatch r="G52127"/>
    <cellWatch r="G52128"/>
    <cellWatch r="G52129"/>
    <cellWatch r="G52130"/>
    <cellWatch r="G52131"/>
    <cellWatch r="G52132"/>
    <cellWatch r="G52133"/>
    <cellWatch r="G52134"/>
    <cellWatch r="G52135"/>
    <cellWatch r="G52136"/>
    <cellWatch r="G52137"/>
    <cellWatch r="G52138"/>
    <cellWatch r="G52139"/>
    <cellWatch r="G52140"/>
    <cellWatch r="G52141"/>
    <cellWatch r="G52142"/>
    <cellWatch r="G52143"/>
    <cellWatch r="G52144"/>
    <cellWatch r="G52145"/>
    <cellWatch r="G52146"/>
    <cellWatch r="G52147"/>
    <cellWatch r="G52148"/>
    <cellWatch r="G52149"/>
    <cellWatch r="G52150"/>
    <cellWatch r="G52151"/>
    <cellWatch r="G52152"/>
    <cellWatch r="G52153"/>
    <cellWatch r="G52154"/>
    <cellWatch r="G52155"/>
    <cellWatch r="G52156"/>
    <cellWatch r="G52157"/>
    <cellWatch r="G52158"/>
    <cellWatch r="G52159"/>
    <cellWatch r="G52160"/>
    <cellWatch r="G52161"/>
    <cellWatch r="G52162"/>
    <cellWatch r="G52163"/>
    <cellWatch r="G52164"/>
    <cellWatch r="G52165"/>
    <cellWatch r="G52166"/>
    <cellWatch r="G52167"/>
    <cellWatch r="G52168"/>
    <cellWatch r="G52169"/>
    <cellWatch r="G52170"/>
    <cellWatch r="G52171"/>
    <cellWatch r="G52172"/>
    <cellWatch r="G52173"/>
    <cellWatch r="G52174"/>
    <cellWatch r="G52175"/>
    <cellWatch r="G52176"/>
    <cellWatch r="G52177"/>
    <cellWatch r="G52178"/>
    <cellWatch r="G52179"/>
    <cellWatch r="G52180"/>
    <cellWatch r="G52181"/>
    <cellWatch r="G52182"/>
    <cellWatch r="G52183"/>
    <cellWatch r="G52184"/>
    <cellWatch r="G52185"/>
    <cellWatch r="G52186"/>
    <cellWatch r="G52187"/>
    <cellWatch r="G52188"/>
    <cellWatch r="G52189"/>
    <cellWatch r="G52190"/>
    <cellWatch r="G52191"/>
    <cellWatch r="G52192"/>
    <cellWatch r="G52193"/>
    <cellWatch r="G52194"/>
    <cellWatch r="G52195"/>
    <cellWatch r="G52196"/>
    <cellWatch r="G52197"/>
    <cellWatch r="G52198"/>
    <cellWatch r="G52199"/>
    <cellWatch r="G52200"/>
    <cellWatch r="G52201"/>
    <cellWatch r="G52202"/>
    <cellWatch r="G52203"/>
    <cellWatch r="G52204"/>
    <cellWatch r="G52205"/>
    <cellWatch r="G52206"/>
    <cellWatch r="G52207"/>
    <cellWatch r="G52208"/>
    <cellWatch r="G52209"/>
    <cellWatch r="G52210"/>
    <cellWatch r="G52211"/>
    <cellWatch r="G52212"/>
    <cellWatch r="G52213"/>
    <cellWatch r="G52214"/>
    <cellWatch r="G52215"/>
    <cellWatch r="G52216"/>
    <cellWatch r="G52217"/>
    <cellWatch r="G52218"/>
    <cellWatch r="G52219"/>
    <cellWatch r="G52220"/>
    <cellWatch r="G52221"/>
    <cellWatch r="G52222"/>
    <cellWatch r="G52223"/>
    <cellWatch r="G52224"/>
    <cellWatch r="G52225"/>
    <cellWatch r="G52226"/>
    <cellWatch r="G52227"/>
    <cellWatch r="G52228"/>
    <cellWatch r="G52229"/>
    <cellWatch r="G52230"/>
    <cellWatch r="G52231"/>
    <cellWatch r="G52232"/>
    <cellWatch r="G52233"/>
    <cellWatch r="G52234"/>
    <cellWatch r="G52235"/>
    <cellWatch r="G52236"/>
    <cellWatch r="G52237"/>
    <cellWatch r="G52238"/>
    <cellWatch r="G52239"/>
    <cellWatch r="G52240"/>
    <cellWatch r="G52241"/>
    <cellWatch r="G52242"/>
    <cellWatch r="G52243"/>
    <cellWatch r="G52244"/>
    <cellWatch r="G52245"/>
    <cellWatch r="G52246"/>
    <cellWatch r="G52247"/>
    <cellWatch r="G52248"/>
    <cellWatch r="G52249"/>
    <cellWatch r="G52250"/>
    <cellWatch r="G52251"/>
    <cellWatch r="G52252"/>
    <cellWatch r="G52253"/>
    <cellWatch r="G52254"/>
    <cellWatch r="G52255"/>
    <cellWatch r="G52256"/>
    <cellWatch r="G52257"/>
    <cellWatch r="G52258"/>
    <cellWatch r="G52259"/>
    <cellWatch r="G52260"/>
    <cellWatch r="G52261"/>
    <cellWatch r="G52262"/>
    <cellWatch r="G52263"/>
    <cellWatch r="G52264"/>
    <cellWatch r="G52265"/>
    <cellWatch r="G52266"/>
    <cellWatch r="G52267"/>
    <cellWatch r="G52268"/>
    <cellWatch r="G52269"/>
    <cellWatch r="G52270"/>
    <cellWatch r="G52271"/>
    <cellWatch r="G52272"/>
    <cellWatch r="G52273"/>
    <cellWatch r="G52274"/>
    <cellWatch r="G52275"/>
    <cellWatch r="G52276"/>
    <cellWatch r="G52277"/>
    <cellWatch r="G52278"/>
    <cellWatch r="G52279"/>
    <cellWatch r="G52280"/>
    <cellWatch r="G52281"/>
    <cellWatch r="G52282"/>
    <cellWatch r="G52283"/>
    <cellWatch r="G52284"/>
    <cellWatch r="G52285"/>
    <cellWatch r="G52286"/>
    <cellWatch r="G52287"/>
    <cellWatch r="G52288"/>
    <cellWatch r="G52289"/>
    <cellWatch r="G52290"/>
    <cellWatch r="G52291"/>
    <cellWatch r="G52292"/>
    <cellWatch r="G52293"/>
    <cellWatch r="G52294"/>
    <cellWatch r="G52295"/>
    <cellWatch r="G52296"/>
    <cellWatch r="G52297"/>
    <cellWatch r="G52298"/>
    <cellWatch r="G52299"/>
    <cellWatch r="G52300"/>
    <cellWatch r="G52301"/>
    <cellWatch r="G52302"/>
    <cellWatch r="G52303"/>
    <cellWatch r="G52304"/>
    <cellWatch r="G52305"/>
    <cellWatch r="G52306"/>
    <cellWatch r="G52307"/>
    <cellWatch r="G52308"/>
    <cellWatch r="G52309"/>
    <cellWatch r="G52310"/>
    <cellWatch r="G52311"/>
    <cellWatch r="G52312"/>
    <cellWatch r="G52313"/>
    <cellWatch r="G52314"/>
    <cellWatch r="G52315"/>
    <cellWatch r="G52316"/>
    <cellWatch r="G52317"/>
    <cellWatch r="G52318"/>
    <cellWatch r="G52319"/>
    <cellWatch r="G52320"/>
    <cellWatch r="G52321"/>
    <cellWatch r="G52322"/>
    <cellWatch r="G52323"/>
    <cellWatch r="G52324"/>
    <cellWatch r="G52325"/>
    <cellWatch r="G52326"/>
    <cellWatch r="G52327"/>
    <cellWatch r="G52328"/>
    <cellWatch r="G52329"/>
    <cellWatch r="G52330"/>
    <cellWatch r="G52331"/>
    <cellWatch r="G52332"/>
    <cellWatch r="G52333"/>
    <cellWatch r="G52334"/>
    <cellWatch r="G52335"/>
    <cellWatch r="G52336"/>
    <cellWatch r="G52337"/>
    <cellWatch r="G52338"/>
    <cellWatch r="G52339"/>
    <cellWatch r="G52340"/>
    <cellWatch r="G52341"/>
    <cellWatch r="G52342"/>
    <cellWatch r="G52343"/>
    <cellWatch r="G52344"/>
    <cellWatch r="G52345"/>
    <cellWatch r="G52346"/>
    <cellWatch r="G52347"/>
    <cellWatch r="G52348"/>
    <cellWatch r="G52349"/>
    <cellWatch r="G52350"/>
    <cellWatch r="G52351"/>
    <cellWatch r="G52352"/>
    <cellWatch r="G52353"/>
    <cellWatch r="G52354"/>
    <cellWatch r="G52355"/>
    <cellWatch r="G52356"/>
    <cellWatch r="G52357"/>
    <cellWatch r="G52358"/>
    <cellWatch r="G52359"/>
    <cellWatch r="G52360"/>
    <cellWatch r="G52361"/>
    <cellWatch r="G52362"/>
    <cellWatch r="G52363"/>
    <cellWatch r="G52364"/>
    <cellWatch r="G52365"/>
    <cellWatch r="G52366"/>
    <cellWatch r="G52367"/>
    <cellWatch r="G52368"/>
    <cellWatch r="G52369"/>
    <cellWatch r="G52370"/>
    <cellWatch r="G52371"/>
    <cellWatch r="G52372"/>
    <cellWatch r="G52373"/>
    <cellWatch r="G52374"/>
    <cellWatch r="G52375"/>
    <cellWatch r="G52376"/>
    <cellWatch r="G52377"/>
    <cellWatch r="G52378"/>
    <cellWatch r="G52379"/>
    <cellWatch r="G52380"/>
    <cellWatch r="G52381"/>
    <cellWatch r="G52382"/>
    <cellWatch r="G52383"/>
    <cellWatch r="G52384"/>
    <cellWatch r="G52385"/>
    <cellWatch r="G52386"/>
    <cellWatch r="G52387"/>
    <cellWatch r="G52388"/>
    <cellWatch r="G52389"/>
    <cellWatch r="G52390"/>
    <cellWatch r="G52391"/>
    <cellWatch r="G52392"/>
    <cellWatch r="G52393"/>
    <cellWatch r="G52394"/>
    <cellWatch r="G52395"/>
    <cellWatch r="G52396"/>
    <cellWatch r="G52397"/>
    <cellWatch r="G52398"/>
    <cellWatch r="G52399"/>
    <cellWatch r="G52400"/>
    <cellWatch r="G52401"/>
    <cellWatch r="G52402"/>
    <cellWatch r="G52403"/>
    <cellWatch r="G52404"/>
    <cellWatch r="G52405"/>
    <cellWatch r="G52406"/>
    <cellWatch r="G52407"/>
    <cellWatch r="G52408"/>
    <cellWatch r="G52409"/>
    <cellWatch r="G52410"/>
    <cellWatch r="G52411"/>
    <cellWatch r="G52412"/>
    <cellWatch r="G52413"/>
    <cellWatch r="G52414"/>
    <cellWatch r="G52415"/>
    <cellWatch r="G52416"/>
    <cellWatch r="G52417"/>
    <cellWatch r="G52418"/>
    <cellWatch r="G52419"/>
    <cellWatch r="G52420"/>
    <cellWatch r="G52421"/>
    <cellWatch r="G52422"/>
    <cellWatch r="G52423"/>
    <cellWatch r="G52424"/>
    <cellWatch r="G52425"/>
    <cellWatch r="G52426"/>
    <cellWatch r="G52427"/>
    <cellWatch r="G52428"/>
    <cellWatch r="G52429"/>
    <cellWatch r="G52430"/>
    <cellWatch r="G52431"/>
    <cellWatch r="G52432"/>
    <cellWatch r="G52433"/>
    <cellWatch r="G52434"/>
    <cellWatch r="G52435"/>
    <cellWatch r="G52436"/>
    <cellWatch r="G52437"/>
    <cellWatch r="G52438"/>
    <cellWatch r="G52439"/>
    <cellWatch r="G52440"/>
    <cellWatch r="G52441"/>
    <cellWatch r="G52442"/>
    <cellWatch r="G52443"/>
    <cellWatch r="G52444"/>
    <cellWatch r="G52445"/>
    <cellWatch r="G52446"/>
    <cellWatch r="G52447"/>
    <cellWatch r="G52448"/>
    <cellWatch r="G52449"/>
    <cellWatch r="G52450"/>
    <cellWatch r="G52451"/>
    <cellWatch r="G52452"/>
    <cellWatch r="G52453"/>
    <cellWatch r="G52454"/>
    <cellWatch r="G52455"/>
    <cellWatch r="G52456"/>
    <cellWatch r="G52457"/>
    <cellWatch r="G52458"/>
    <cellWatch r="G52459"/>
    <cellWatch r="G52460"/>
    <cellWatch r="G52461"/>
    <cellWatch r="G52462"/>
    <cellWatch r="G52463"/>
    <cellWatch r="G52464"/>
    <cellWatch r="G52465"/>
    <cellWatch r="G52466"/>
    <cellWatch r="G52467"/>
    <cellWatch r="G52468"/>
    <cellWatch r="G52469"/>
    <cellWatch r="G52470"/>
    <cellWatch r="G52471"/>
    <cellWatch r="G52472"/>
    <cellWatch r="G52473"/>
    <cellWatch r="G52474"/>
    <cellWatch r="G52475"/>
    <cellWatch r="G52476"/>
    <cellWatch r="G52477"/>
    <cellWatch r="G52478"/>
    <cellWatch r="G52479"/>
    <cellWatch r="G52480"/>
    <cellWatch r="G52481"/>
    <cellWatch r="G52482"/>
    <cellWatch r="G52483"/>
    <cellWatch r="G52484"/>
    <cellWatch r="G52485"/>
    <cellWatch r="G52486"/>
    <cellWatch r="G52487"/>
    <cellWatch r="G52488"/>
    <cellWatch r="G52489"/>
    <cellWatch r="G52490"/>
    <cellWatch r="G52491"/>
    <cellWatch r="G52492"/>
    <cellWatch r="G52493"/>
    <cellWatch r="G52494"/>
    <cellWatch r="G52495"/>
    <cellWatch r="G52496"/>
    <cellWatch r="G52497"/>
    <cellWatch r="G52498"/>
    <cellWatch r="G52499"/>
    <cellWatch r="G52500"/>
    <cellWatch r="G52501"/>
    <cellWatch r="G52502"/>
    <cellWatch r="G52503"/>
    <cellWatch r="G52504"/>
    <cellWatch r="G52505"/>
    <cellWatch r="G52506"/>
    <cellWatch r="G52507"/>
    <cellWatch r="G52508"/>
    <cellWatch r="G52509"/>
    <cellWatch r="G52510"/>
    <cellWatch r="G52511"/>
    <cellWatch r="G52512"/>
    <cellWatch r="G52513"/>
    <cellWatch r="G52514"/>
    <cellWatch r="G52515"/>
    <cellWatch r="G52516"/>
    <cellWatch r="G52517"/>
    <cellWatch r="G52518"/>
    <cellWatch r="G52519"/>
    <cellWatch r="G52520"/>
    <cellWatch r="G52521"/>
    <cellWatch r="G52522"/>
    <cellWatch r="G52523"/>
    <cellWatch r="G52524"/>
    <cellWatch r="G52525"/>
    <cellWatch r="G52526"/>
    <cellWatch r="G52527"/>
    <cellWatch r="G52528"/>
    <cellWatch r="G52529"/>
    <cellWatch r="G52530"/>
    <cellWatch r="G52531"/>
    <cellWatch r="G52532"/>
    <cellWatch r="G52533"/>
    <cellWatch r="G52534"/>
    <cellWatch r="G52535"/>
    <cellWatch r="G52536"/>
    <cellWatch r="G52537"/>
    <cellWatch r="G52538"/>
    <cellWatch r="G52539"/>
    <cellWatch r="G52540"/>
    <cellWatch r="G52541"/>
    <cellWatch r="G52542"/>
    <cellWatch r="G52543"/>
    <cellWatch r="G52544"/>
    <cellWatch r="G52545"/>
    <cellWatch r="G52546"/>
    <cellWatch r="G52547"/>
    <cellWatch r="G52548"/>
    <cellWatch r="G52549"/>
    <cellWatch r="G52550"/>
    <cellWatch r="G52551"/>
    <cellWatch r="G52552"/>
    <cellWatch r="G52553"/>
    <cellWatch r="G52554"/>
    <cellWatch r="G52555"/>
    <cellWatch r="G52556"/>
    <cellWatch r="G52557"/>
    <cellWatch r="G52558"/>
    <cellWatch r="G52559"/>
    <cellWatch r="G52560"/>
    <cellWatch r="G52561"/>
    <cellWatch r="G52562"/>
    <cellWatch r="G52563"/>
    <cellWatch r="G52564"/>
    <cellWatch r="G52565"/>
    <cellWatch r="G52566"/>
    <cellWatch r="G52567"/>
    <cellWatch r="G52568"/>
    <cellWatch r="G52569"/>
    <cellWatch r="G52570"/>
    <cellWatch r="G52571"/>
    <cellWatch r="G52572"/>
    <cellWatch r="G52573"/>
    <cellWatch r="G52574"/>
    <cellWatch r="G52575"/>
    <cellWatch r="G52576"/>
    <cellWatch r="G52577"/>
    <cellWatch r="G52578"/>
    <cellWatch r="G52579"/>
    <cellWatch r="G52580"/>
    <cellWatch r="G52581"/>
    <cellWatch r="G52582"/>
    <cellWatch r="G52583"/>
    <cellWatch r="G52584"/>
    <cellWatch r="G52585"/>
    <cellWatch r="G52586"/>
    <cellWatch r="G52587"/>
    <cellWatch r="G52588"/>
    <cellWatch r="G52589"/>
    <cellWatch r="G52590"/>
    <cellWatch r="G52591"/>
    <cellWatch r="G52592"/>
    <cellWatch r="G52593"/>
    <cellWatch r="G52594"/>
    <cellWatch r="G52595"/>
    <cellWatch r="G52596"/>
    <cellWatch r="G52597"/>
    <cellWatch r="G52598"/>
    <cellWatch r="G52599"/>
    <cellWatch r="G52600"/>
    <cellWatch r="G52601"/>
    <cellWatch r="G52602"/>
    <cellWatch r="G52603"/>
    <cellWatch r="G52604"/>
    <cellWatch r="G52605"/>
    <cellWatch r="G52606"/>
    <cellWatch r="G52607"/>
    <cellWatch r="G52608"/>
    <cellWatch r="G52609"/>
    <cellWatch r="G52610"/>
    <cellWatch r="G52611"/>
    <cellWatch r="G52612"/>
    <cellWatch r="G52613"/>
    <cellWatch r="G52614"/>
    <cellWatch r="G52615"/>
    <cellWatch r="G52616"/>
    <cellWatch r="G52617"/>
    <cellWatch r="G52618"/>
    <cellWatch r="G52619"/>
    <cellWatch r="G52620"/>
    <cellWatch r="G52621"/>
    <cellWatch r="G52622"/>
    <cellWatch r="G52623"/>
    <cellWatch r="G52624"/>
    <cellWatch r="G52625"/>
    <cellWatch r="G52626"/>
    <cellWatch r="G52627"/>
    <cellWatch r="G52628"/>
    <cellWatch r="G52629"/>
    <cellWatch r="G52630"/>
    <cellWatch r="G52631"/>
    <cellWatch r="G52632"/>
    <cellWatch r="G52633"/>
    <cellWatch r="G52634"/>
    <cellWatch r="G52635"/>
    <cellWatch r="G52636"/>
    <cellWatch r="G52637"/>
    <cellWatch r="G52638"/>
    <cellWatch r="G52639"/>
    <cellWatch r="G52640"/>
    <cellWatch r="G52641"/>
    <cellWatch r="G52642"/>
    <cellWatch r="G52643"/>
    <cellWatch r="G52644"/>
    <cellWatch r="G52645"/>
    <cellWatch r="G52646"/>
    <cellWatch r="G52647"/>
    <cellWatch r="G52648"/>
    <cellWatch r="G52649"/>
    <cellWatch r="G52650"/>
    <cellWatch r="G52651"/>
    <cellWatch r="G52652"/>
    <cellWatch r="G52653"/>
    <cellWatch r="G52654"/>
    <cellWatch r="G52655"/>
    <cellWatch r="G52656"/>
    <cellWatch r="G52657"/>
    <cellWatch r="G52658"/>
    <cellWatch r="G52659"/>
    <cellWatch r="G52660"/>
    <cellWatch r="G52661"/>
    <cellWatch r="G52662"/>
    <cellWatch r="G52663"/>
    <cellWatch r="G52664"/>
    <cellWatch r="G52665"/>
    <cellWatch r="G52666"/>
    <cellWatch r="G52667"/>
    <cellWatch r="G52668"/>
    <cellWatch r="G52669"/>
    <cellWatch r="G52670"/>
    <cellWatch r="G52671"/>
    <cellWatch r="G52672"/>
    <cellWatch r="G52673"/>
    <cellWatch r="G52674"/>
    <cellWatch r="G52675"/>
    <cellWatch r="G52676"/>
    <cellWatch r="G52677"/>
    <cellWatch r="G52678"/>
    <cellWatch r="G52679"/>
    <cellWatch r="G52680"/>
    <cellWatch r="G52681"/>
    <cellWatch r="G52682"/>
    <cellWatch r="G52683"/>
    <cellWatch r="G52684"/>
    <cellWatch r="G52685"/>
    <cellWatch r="G52686"/>
    <cellWatch r="G52687"/>
    <cellWatch r="G52688"/>
    <cellWatch r="G52689"/>
    <cellWatch r="G52690"/>
    <cellWatch r="G52691"/>
    <cellWatch r="G52692"/>
    <cellWatch r="G52693"/>
    <cellWatch r="G52694"/>
    <cellWatch r="G52695"/>
    <cellWatch r="G52696"/>
    <cellWatch r="G52697"/>
    <cellWatch r="G52698"/>
    <cellWatch r="G52699"/>
    <cellWatch r="G52700"/>
    <cellWatch r="G52701"/>
    <cellWatch r="G52702"/>
    <cellWatch r="G52703"/>
    <cellWatch r="G52704"/>
    <cellWatch r="G52705"/>
    <cellWatch r="G52706"/>
    <cellWatch r="G52707"/>
    <cellWatch r="G52708"/>
    <cellWatch r="G52709"/>
    <cellWatch r="G52710"/>
    <cellWatch r="G52711"/>
    <cellWatch r="G52712"/>
    <cellWatch r="G52713"/>
    <cellWatch r="G52714"/>
    <cellWatch r="G52715"/>
    <cellWatch r="G52716"/>
    <cellWatch r="G52717"/>
    <cellWatch r="G52718"/>
    <cellWatch r="G52719"/>
    <cellWatch r="G52720"/>
    <cellWatch r="G52721"/>
    <cellWatch r="G52722"/>
    <cellWatch r="G52723"/>
    <cellWatch r="G52724"/>
    <cellWatch r="G52725"/>
    <cellWatch r="G52726"/>
    <cellWatch r="G52727"/>
    <cellWatch r="G52728"/>
    <cellWatch r="G52729"/>
    <cellWatch r="G52730"/>
    <cellWatch r="G52731"/>
    <cellWatch r="G52732"/>
    <cellWatch r="G52733"/>
    <cellWatch r="G52734"/>
    <cellWatch r="G52735"/>
    <cellWatch r="G52736"/>
    <cellWatch r="G52737"/>
    <cellWatch r="G52738"/>
    <cellWatch r="G52739"/>
    <cellWatch r="G52740"/>
    <cellWatch r="G52741"/>
    <cellWatch r="G52742"/>
    <cellWatch r="G52743"/>
    <cellWatch r="G52744"/>
    <cellWatch r="G52745"/>
    <cellWatch r="G52746"/>
    <cellWatch r="G52747"/>
    <cellWatch r="G52748"/>
    <cellWatch r="G52749"/>
    <cellWatch r="G52750"/>
    <cellWatch r="G52751"/>
    <cellWatch r="G52752"/>
    <cellWatch r="G52753"/>
    <cellWatch r="G52754"/>
    <cellWatch r="G52755"/>
    <cellWatch r="G52756"/>
    <cellWatch r="G52757"/>
    <cellWatch r="G52758"/>
    <cellWatch r="G52759"/>
    <cellWatch r="G52760"/>
    <cellWatch r="G52761"/>
    <cellWatch r="G52762"/>
    <cellWatch r="G52763"/>
    <cellWatch r="G52764"/>
    <cellWatch r="G52765"/>
    <cellWatch r="G52766"/>
    <cellWatch r="G52767"/>
    <cellWatch r="G52768"/>
    <cellWatch r="G52769"/>
    <cellWatch r="G52770"/>
    <cellWatch r="G52771"/>
    <cellWatch r="G52772"/>
    <cellWatch r="G52773"/>
    <cellWatch r="G52774"/>
    <cellWatch r="G52775"/>
    <cellWatch r="G52776"/>
    <cellWatch r="G52777"/>
    <cellWatch r="G52778"/>
    <cellWatch r="G52779"/>
    <cellWatch r="G52780"/>
    <cellWatch r="G52781"/>
    <cellWatch r="G52782"/>
    <cellWatch r="G52783"/>
    <cellWatch r="G52784"/>
    <cellWatch r="G52785"/>
    <cellWatch r="G52786"/>
    <cellWatch r="G52787"/>
    <cellWatch r="G52788"/>
    <cellWatch r="G52789"/>
    <cellWatch r="G52790"/>
    <cellWatch r="G52791"/>
    <cellWatch r="G52792"/>
    <cellWatch r="G52793"/>
    <cellWatch r="G52794"/>
    <cellWatch r="G52795"/>
    <cellWatch r="G52796"/>
    <cellWatch r="G52797"/>
    <cellWatch r="G52798"/>
    <cellWatch r="G52799"/>
    <cellWatch r="G52800"/>
    <cellWatch r="G52801"/>
    <cellWatch r="G52802"/>
    <cellWatch r="G52803"/>
    <cellWatch r="G52804"/>
    <cellWatch r="G52805"/>
    <cellWatch r="G52806"/>
    <cellWatch r="G52807"/>
    <cellWatch r="G52808"/>
    <cellWatch r="G52809"/>
    <cellWatch r="G52810"/>
    <cellWatch r="G52811"/>
    <cellWatch r="G52812"/>
    <cellWatch r="G52813"/>
    <cellWatch r="G52814"/>
    <cellWatch r="G52815"/>
    <cellWatch r="G52816"/>
    <cellWatch r="G52817"/>
    <cellWatch r="G52818"/>
    <cellWatch r="G52819"/>
    <cellWatch r="G52820"/>
    <cellWatch r="G52821"/>
    <cellWatch r="G52822"/>
    <cellWatch r="G52823"/>
    <cellWatch r="G52824"/>
    <cellWatch r="G52825"/>
    <cellWatch r="G52826"/>
    <cellWatch r="G52827"/>
    <cellWatch r="G52828"/>
    <cellWatch r="G52829"/>
    <cellWatch r="G52830"/>
    <cellWatch r="G52831"/>
    <cellWatch r="G52832"/>
    <cellWatch r="G52833"/>
    <cellWatch r="G52834"/>
    <cellWatch r="G52835"/>
    <cellWatch r="G52836"/>
    <cellWatch r="G52837"/>
    <cellWatch r="G52838"/>
    <cellWatch r="G52839"/>
    <cellWatch r="G52840"/>
    <cellWatch r="G52841"/>
    <cellWatch r="G52842"/>
    <cellWatch r="G52843"/>
    <cellWatch r="G52844"/>
    <cellWatch r="G52845"/>
    <cellWatch r="G52846"/>
    <cellWatch r="G52847"/>
    <cellWatch r="G52848"/>
    <cellWatch r="G52849"/>
    <cellWatch r="G52850"/>
    <cellWatch r="G52851"/>
    <cellWatch r="G52852"/>
    <cellWatch r="G52853"/>
    <cellWatch r="G52854"/>
    <cellWatch r="G52855"/>
    <cellWatch r="G52856"/>
    <cellWatch r="G52857"/>
    <cellWatch r="G52858"/>
    <cellWatch r="G52859"/>
    <cellWatch r="G52860"/>
    <cellWatch r="G52861"/>
    <cellWatch r="G52862"/>
    <cellWatch r="G52863"/>
    <cellWatch r="G52864"/>
    <cellWatch r="G52865"/>
    <cellWatch r="G52866"/>
    <cellWatch r="G52867"/>
    <cellWatch r="G52868"/>
    <cellWatch r="G52869"/>
    <cellWatch r="G52870"/>
    <cellWatch r="G52871"/>
    <cellWatch r="G52872"/>
    <cellWatch r="G52873"/>
    <cellWatch r="G52874"/>
    <cellWatch r="G52875"/>
    <cellWatch r="G52876"/>
    <cellWatch r="G52877"/>
    <cellWatch r="G52878"/>
    <cellWatch r="G52879"/>
    <cellWatch r="G52880"/>
    <cellWatch r="G52881"/>
    <cellWatch r="G52882"/>
    <cellWatch r="G52883"/>
    <cellWatch r="G52884"/>
    <cellWatch r="G52885"/>
    <cellWatch r="G52886"/>
    <cellWatch r="G52887"/>
    <cellWatch r="G52888"/>
    <cellWatch r="G52889"/>
    <cellWatch r="G52890"/>
    <cellWatch r="G52891"/>
    <cellWatch r="G52892"/>
    <cellWatch r="G52893"/>
    <cellWatch r="G52894"/>
    <cellWatch r="G52895"/>
    <cellWatch r="G52896"/>
    <cellWatch r="G52897"/>
    <cellWatch r="G52898"/>
    <cellWatch r="G52899"/>
    <cellWatch r="G52900"/>
    <cellWatch r="G52901"/>
    <cellWatch r="G52902"/>
    <cellWatch r="G52903"/>
    <cellWatch r="G52904"/>
    <cellWatch r="G52905"/>
    <cellWatch r="G52906"/>
    <cellWatch r="G52907"/>
    <cellWatch r="G52908"/>
    <cellWatch r="G52909"/>
    <cellWatch r="G52910"/>
    <cellWatch r="G52911"/>
    <cellWatch r="G52912"/>
    <cellWatch r="G52913"/>
    <cellWatch r="G52914"/>
    <cellWatch r="G52915"/>
    <cellWatch r="G52916"/>
    <cellWatch r="G52917"/>
    <cellWatch r="G52918"/>
    <cellWatch r="G52919"/>
    <cellWatch r="G52920"/>
    <cellWatch r="G52921"/>
    <cellWatch r="G52922"/>
    <cellWatch r="G52923"/>
    <cellWatch r="G52924"/>
    <cellWatch r="G52925"/>
    <cellWatch r="G52926"/>
    <cellWatch r="G52927"/>
    <cellWatch r="G52928"/>
    <cellWatch r="G52929"/>
    <cellWatch r="G52930"/>
    <cellWatch r="G52931"/>
    <cellWatch r="G52932"/>
    <cellWatch r="G52933"/>
    <cellWatch r="G52934"/>
    <cellWatch r="G52935"/>
    <cellWatch r="G52936"/>
    <cellWatch r="G52937"/>
    <cellWatch r="G52938"/>
    <cellWatch r="G52939"/>
    <cellWatch r="G52940"/>
    <cellWatch r="G52941"/>
    <cellWatch r="G52942"/>
    <cellWatch r="G52943"/>
    <cellWatch r="G52944"/>
    <cellWatch r="G52945"/>
    <cellWatch r="G52946"/>
    <cellWatch r="G52947"/>
    <cellWatch r="G52948"/>
    <cellWatch r="G52949"/>
    <cellWatch r="G52950"/>
    <cellWatch r="G52951"/>
    <cellWatch r="G52952"/>
    <cellWatch r="G52953"/>
    <cellWatch r="G52954"/>
    <cellWatch r="G52955"/>
    <cellWatch r="G52956"/>
    <cellWatch r="G52957"/>
    <cellWatch r="G52958"/>
    <cellWatch r="G52959"/>
    <cellWatch r="G52960"/>
    <cellWatch r="G52961"/>
    <cellWatch r="G52962"/>
    <cellWatch r="G52963"/>
    <cellWatch r="G52964"/>
    <cellWatch r="G52965"/>
    <cellWatch r="G52966"/>
    <cellWatch r="G52967"/>
    <cellWatch r="G52968"/>
    <cellWatch r="G52969"/>
    <cellWatch r="G52970"/>
    <cellWatch r="G52971"/>
    <cellWatch r="G52972"/>
    <cellWatch r="G52973"/>
    <cellWatch r="G52974"/>
    <cellWatch r="G52975"/>
    <cellWatch r="G52976"/>
    <cellWatch r="G52977"/>
    <cellWatch r="G52978"/>
    <cellWatch r="G52979"/>
    <cellWatch r="G52980"/>
    <cellWatch r="G52981"/>
    <cellWatch r="G52982"/>
    <cellWatch r="G52983"/>
    <cellWatch r="G52984"/>
    <cellWatch r="G52985"/>
    <cellWatch r="G52986"/>
    <cellWatch r="G52987"/>
    <cellWatch r="G52988"/>
    <cellWatch r="G52989"/>
    <cellWatch r="G52990"/>
    <cellWatch r="G52991"/>
    <cellWatch r="G52992"/>
    <cellWatch r="G52993"/>
    <cellWatch r="G52994"/>
    <cellWatch r="G52995"/>
    <cellWatch r="G52996"/>
    <cellWatch r="G52997"/>
    <cellWatch r="G52998"/>
    <cellWatch r="G52999"/>
    <cellWatch r="G53000"/>
    <cellWatch r="G53001"/>
    <cellWatch r="G53002"/>
    <cellWatch r="G53003"/>
    <cellWatch r="G53004"/>
    <cellWatch r="G53005"/>
    <cellWatch r="G53006"/>
    <cellWatch r="G53007"/>
    <cellWatch r="G53008"/>
    <cellWatch r="G53009"/>
    <cellWatch r="G53010"/>
    <cellWatch r="G53011"/>
    <cellWatch r="G53012"/>
    <cellWatch r="G53013"/>
    <cellWatch r="G53014"/>
    <cellWatch r="G53015"/>
    <cellWatch r="G53016"/>
    <cellWatch r="G53017"/>
    <cellWatch r="G53018"/>
    <cellWatch r="G53019"/>
    <cellWatch r="G53020"/>
    <cellWatch r="G53021"/>
    <cellWatch r="G53022"/>
    <cellWatch r="G53023"/>
    <cellWatch r="G53024"/>
    <cellWatch r="G53025"/>
    <cellWatch r="G53026"/>
    <cellWatch r="G53027"/>
    <cellWatch r="G53028"/>
    <cellWatch r="G53029"/>
    <cellWatch r="G53030"/>
    <cellWatch r="G53031"/>
    <cellWatch r="G53032"/>
    <cellWatch r="G53033"/>
    <cellWatch r="G53034"/>
    <cellWatch r="G53035"/>
    <cellWatch r="G53036"/>
    <cellWatch r="G53037"/>
    <cellWatch r="G53038"/>
    <cellWatch r="G53039"/>
    <cellWatch r="G53040"/>
    <cellWatch r="G53041"/>
    <cellWatch r="G53042"/>
    <cellWatch r="G53043"/>
    <cellWatch r="G53044"/>
    <cellWatch r="G53045"/>
    <cellWatch r="G53046"/>
    <cellWatch r="G53047"/>
    <cellWatch r="G53048"/>
    <cellWatch r="G53049"/>
    <cellWatch r="G53050"/>
    <cellWatch r="G53051"/>
    <cellWatch r="G53052"/>
    <cellWatch r="G53053"/>
    <cellWatch r="G53054"/>
    <cellWatch r="G53055"/>
    <cellWatch r="G53056"/>
    <cellWatch r="G53057"/>
    <cellWatch r="G53058"/>
    <cellWatch r="G53059"/>
    <cellWatch r="G53060"/>
    <cellWatch r="G53061"/>
    <cellWatch r="G53062"/>
    <cellWatch r="G53063"/>
    <cellWatch r="G53064"/>
    <cellWatch r="G53065"/>
    <cellWatch r="G53066"/>
    <cellWatch r="G53067"/>
    <cellWatch r="G53068"/>
    <cellWatch r="G53069"/>
    <cellWatch r="G53070"/>
    <cellWatch r="G53071"/>
    <cellWatch r="G53072"/>
    <cellWatch r="G53073"/>
    <cellWatch r="G53074"/>
    <cellWatch r="G53075"/>
    <cellWatch r="G53076"/>
    <cellWatch r="G53077"/>
    <cellWatch r="G53078"/>
    <cellWatch r="G53079"/>
    <cellWatch r="G53080"/>
    <cellWatch r="G53081"/>
    <cellWatch r="G53082"/>
    <cellWatch r="G53083"/>
    <cellWatch r="G53084"/>
    <cellWatch r="G53085"/>
    <cellWatch r="G53086"/>
    <cellWatch r="G53087"/>
    <cellWatch r="G53088"/>
    <cellWatch r="G53089"/>
    <cellWatch r="G53090"/>
    <cellWatch r="G53091"/>
    <cellWatch r="G53092"/>
    <cellWatch r="G53093"/>
    <cellWatch r="G53094"/>
    <cellWatch r="G53095"/>
    <cellWatch r="G53096"/>
    <cellWatch r="G53097"/>
    <cellWatch r="G53098"/>
    <cellWatch r="G53099"/>
    <cellWatch r="G53100"/>
    <cellWatch r="G53101"/>
    <cellWatch r="G53102"/>
    <cellWatch r="G53103"/>
    <cellWatch r="G53104"/>
    <cellWatch r="G53105"/>
    <cellWatch r="G53106"/>
    <cellWatch r="G53107"/>
    <cellWatch r="G53108"/>
    <cellWatch r="G53109"/>
    <cellWatch r="G53110"/>
    <cellWatch r="G53111"/>
    <cellWatch r="G53112"/>
    <cellWatch r="G53113"/>
    <cellWatch r="G53114"/>
    <cellWatch r="G53115"/>
    <cellWatch r="G53116"/>
    <cellWatch r="G53117"/>
    <cellWatch r="G53118"/>
    <cellWatch r="G53119"/>
    <cellWatch r="G53120"/>
    <cellWatch r="G53121"/>
    <cellWatch r="G53122"/>
    <cellWatch r="G53123"/>
    <cellWatch r="G53124"/>
    <cellWatch r="G53125"/>
    <cellWatch r="G53126"/>
    <cellWatch r="G53127"/>
    <cellWatch r="G53128"/>
    <cellWatch r="G53129"/>
    <cellWatch r="G53130"/>
    <cellWatch r="G53131"/>
    <cellWatch r="G53132"/>
    <cellWatch r="G53133"/>
    <cellWatch r="G53134"/>
    <cellWatch r="G53135"/>
    <cellWatch r="G53136"/>
    <cellWatch r="G53137"/>
    <cellWatch r="G53138"/>
    <cellWatch r="G53139"/>
    <cellWatch r="G53140"/>
    <cellWatch r="G53141"/>
    <cellWatch r="G53142"/>
    <cellWatch r="G53143"/>
    <cellWatch r="G53144"/>
    <cellWatch r="G53145"/>
    <cellWatch r="G53146"/>
    <cellWatch r="G53147"/>
    <cellWatch r="G53148"/>
    <cellWatch r="G53149"/>
    <cellWatch r="G53150"/>
    <cellWatch r="G53151"/>
    <cellWatch r="G53152"/>
    <cellWatch r="G53153"/>
    <cellWatch r="G53154"/>
    <cellWatch r="G53155"/>
    <cellWatch r="G53156"/>
    <cellWatch r="G53157"/>
    <cellWatch r="G53158"/>
    <cellWatch r="G53159"/>
    <cellWatch r="G53160"/>
    <cellWatch r="G53161"/>
    <cellWatch r="G53162"/>
    <cellWatch r="G53163"/>
    <cellWatch r="G53164"/>
    <cellWatch r="G53165"/>
    <cellWatch r="G53166"/>
    <cellWatch r="G53167"/>
    <cellWatch r="G53168"/>
    <cellWatch r="G53169"/>
    <cellWatch r="G53170"/>
    <cellWatch r="G53171"/>
    <cellWatch r="G53172"/>
    <cellWatch r="G53173"/>
    <cellWatch r="G53174"/>
    <cellWatch r="G53175"/>
    <cellWatch r="G53176"/>
    <cellWatch r="G53177"/>
    <cellWatch r="G53178"/>
    <cellWatch r="G53179"/>
    <cellWatch r="G53180"/>
    <cellWatch r="G53181"/>
    <cellWatch r="G53182"/>
    <cellWatch r="G53183"/>
    <cellWatch r="G53184"/>
    <cellWatch r="G53185"/>
    <cellWatch r="G53186"/>
    <cellWatch r="G53187"/>
    <cellWatch r="G53188"/>
    <cellWatch r="G53189"/>
    <cellWatch r="G53190"/>
    <cellWatch r="G53191"/>
    <cellWatch r="G53192"/>
    <cellWatch r="G53193"/>
    <cellWatch r="G53194"/>
    <cellWatch r="G53195"/>
    <cellWatch r="G53196"/>
    <cellWatch r="G53197"/>
    <cellWatch r="G53198"/>
    <cellWatch r="G53199"/>
    <cellWatch r="G53200"/>
    <cellWatch r="G53201"/>
    <cellWatch r="G53202"/>
    <cellWatch r="G53203"/>
    <cellWatch r="G53204"/>
    <cellWatch r="G53205"/>
    <cellWatch r="G53206"/>
    <cellWatch r="G53207"/>
    <cellWatch r="G53208"/>
    <cellWatch r="G53209"/>
    <cellWatch r="G53210"/>
    <cellWatch r="G53211"/>
    <cellWatch r="G53212"/>
    <cellWatch r="G53213"/>
    <cellWatch r="G53214"/>
    <cellWatch r="G53215"/>
    <cellWatch r="G53216"/>
    <cellWatch r="G53217"/>
    <cellWatch r="G53218"/>
    <cellWatch r="G53219"/>
    <cellWatch r="G53220"/>
    <cellWatch r="G53221"/>
    <cellWatch r="G53222"/>
    <cellWatch r="G53223"/>
    <cellWatch r="G53224"/>
    <cellWatch r="G53225"/>
    <cellWatch r="G53226"/>
    <cellWatch r="G53227"/>
    <cellWatch r="G53228"/>
    <cellWatch r="G53229"/>
    <cellWatch r="G53230"/>
    <cellWatch r="G53231"/>
    <cellWatch r="G53232"/>
    <cellWatch r="G53233"/>
    <cellWatch r="G53234"/>
    <cellWatch r="G53235"/>
    <cellWatch r="G53236"/>
    <cellWatch r="G53237"/>
    <cellWatch r="G53238"/>
    <cellWatch r="G53239"/>
    <cellWatch r="G53240"/>
    <cellWatch r="G53241"/>
    <cellWatch r="G53242"/>
    <cellWatch r="G53243"/>
    <cellWatch r="G53244"/>
    <cellWatch r="G53245"/>
    <cellWatch r="G53246"/>
    <cellWatch r="G53247"/>
    <cellWatch r="G53248"/>
    <cellWatch r="G53249"/>
    <cellWatch r="G53250"/>
    <cellWatch r="G53251"/>
    <cellWatch r="G53252"/>
    <cellWatch r="G53253"/>
    <cellWatch r="G53254"/>
    <cellWatch r="G53255"/>
    <cellWatch r="G53256"/>
    <cellWatch r="G53257"/>
    <cellWatch r="G53258"/>
    <cellWatch r="G53259"/>
    <cellWatch r="G53260"/>
    <cellWatch r="G53261"/>
    <cellWatch r="G53262"/>
    <cellWatch r="G53263"/>
    <cellWatch r="G53264"/>
    <cellWatch r="G53265"/>
    <cellWatch r="G53266"/>
    <cellWatch r="G53267"/>
    <cellWatch r="G53268"/>
    <cellWatch r="G53269"/>
    <cellWatch r="G53270"/>
    <cellWatch r="G53271"/>
    <cellWatch r="G53272"/>
    <cellWatch r="G53273"/>
    <cellWatch r="G53274"/>
    <cellWatch r="G53275"/>
    <cellWatch r="G53276"/>
    <cellWatch r="G53277"/>
    <cellWatch r="G53278"/>
    <cellWatch r="G53279"/>
    <cellWatch r="G53280"/>
    <cellWatch r="G53281"/>
    <cellWatch r="G53282"/>
    <cellWatch r="G53283"/>
    <cellWatch r="G53284"/>
    <cellWatch r="G53285"/>
    <cellWatch r="G53286"/>
    <cellWatch r="G53287"/>
    <cellWatch r="G53288"/>
    <cellWatch r="G53289"/>
    <cellWatch r="G53290"/>
    <cellWatch r="G53291"/>
    <cellWatch r="G53292"/>
    <cellWatch r="G53293"/>
    <cellWatch r="G53294"/>
    <cellWatch r="G53295"/>
    <cellWatch r="G53296"/>
    <cellWatch r="G53297"/>
    <cellWatch r="G53298"/>
    <cellWatch r="G53299"/>
    <cellWatch r="G53300"/>
    <cellWatch r="G53301"/>
    <cellWatch r="G53302"/>
    <cellWatch r="G53303"/>
    <cellWatch r="G53304"/>
    <cellWatch r="G53305"/>
    <cellWatch r="G53306"/>
    <cellWatch r="G53307"/>
    <cellWatch r="G53308"/>
    <cellWatch r="G53309"/>
    <cellWatch r="G53310"/>
    <cellWatch r="G53311"/>
    <cellWatch r="G53312"/>
    <cellWatch r="G53313"/>
    <cellWatch r="G53314"/>
    <cellWatch r="G53315"/>
    <cellWatch r="G53316"/>
    <cellWatch r="G53317"/>
    <cellWatch r="G53318"/>
    <cellWatch r="G53319"/>
    <cellWatch r="G53320"/>
    <cellWatch r="G53321"/>
    <cellWatch r="G53322"/>
    <cellWatch r="G53323"/>
    <cellWatch r="G53324"/>
    <cellWatch r="G53325"/>
    <cellWatch r="G53326"/>
    <cellWatch r="G53327"/>
    <cellWatch r="G53328"/>
    <cellWatch r="G53329"/>
    <cellWatch r="G53330"/>
    <cellWatch r="G53331"/>
    <cellWatch r="G53332"/>
    <cellWatch r="G53333"/>
    <cellWatch r="G53334"/>
    <cellWatch r="G53335"/>
    <cellWatch r="G53336"/>
    <cellWatch r="G53337"/>
    <cellWatch r="G53338"/>
    <cellWatch r="G53339"/>
    <cellWatch r="G53340"/>
    <cellWatch r="G53341"/>
    <cellWatch r="G53342"/>
    <cellWatch r="G53343"/>
    <cellWatch r="G53344"/>
    <cellWatch r="G53345"/>
    <cellWatch r="G53346"/>
    <cellWatch r="G53347"/>
    <cellWatch r="G53348"/>
    <cellWatch r="G53349"/>
    <cellWatch r="G53350"/>
    <cellWatch r="G53351"/>
    <cellWatch r="G53352"/>
    <cellWatch r="G53353"/>
    <cellWatch r="G53354"/>
    <cellWatch r="G53355"/>
    <cellWatch r="G53356"/>
    <cellWatch r="G53357"/>
    <cellWatch r="G53358"/>
    <cellWatch r="G53359"/>
    <cellWatch r="G53360"/>
    <cellWatch r="G53361"/>
    <cellWatch r="G53362"/>
    <cellWatch r="G53363"/>
    <cellWatch r="G53364"/>
    <cellWatch r="G53365"/>
    <cellWatch r="G53366"/>
    <cellWatch r="G53367"/>
    <cellWatch r="G53368"/>
    <cellWatch r="G53369"/>
    <cellWatch r="G53370"/>
    <cellWatch r="G53371"/>
    <cellWatch r="G53372"/>
    <cellWatch r="G53373"/>
    <cellWatch r="G53374"/>
    <cellWatch r="G53375"/>
    <cellWatch r="G53376"/>
    <cellWatch r="G53377"/>
    <cellWatch r="G53378"/>
    <cellWatch r="G53379"/>
    <cellWatch r="G53380"/>
    <cellWatch r="G53381"/>
    <cellWatch r="G53382"/>
    <cellWatch r="G53383"/>
    <cellWatch r="G53384"/>
    <cellWatch r="G53385"/>
    <cellWatch r="G53386"/>
    <cellWatch r="G53387"/>
    <cellWatch r="G53388"/>
    <cellWatch r="G53389"/>
    <cellWatch r="G53390"/>
    <cellWatch r="G53391"/>
    <cellWatch r="G53392"/>
    <cellWatch r="G53393"/>
    <cellWatch r="G53394"/>
    <cellWatch r="G53395"/>
    <cellWatch r="G53396"/>
    <cellWatch r="G53397"/>
    <cellWatch r="G53398"/>
    <cellWatch r="G53399"/>
    <cellWatch r="G53400"/>
    <cellWatch r="G53401"/>
    <cellWatch r="G53402"/>
    <cellWatch r="G53403"/>
    <cellWatch r="G53404"/>
    <cellWatch r="G53405"/>
    <cellWatch r="G53406"/>
    <cellWatch r="G53407"/>
    <cellWatch r="G53408"/>
    <cellWatch r="G53409"/>
    <cellWatch r="G53410"/>
    <cellWatch r="G53411"/>
    <cellWatch r="G53412"/>
    <cellWatch r="G53413"/>
    <cellWatch r="G53414"/>
    <cellWatch r="G53415"/>
    <cellWatch r="G53416"/>
    <cellWatch r="G53417"/>
    <cellWatch r="G53418"/>
    <cellWatch r="G53419"/>
    <cellWatch r="G53420"/>
    <cellWatch r="G53421"/>
    <cellWatch r="G53422"/>
    <cellWatch r="G53423"/>
    <cellWatch r="G53424"/>
    <cellWatch r="G53425"/>
    <cellWatch r="G53426"/>
    <cellWatch r="G53427"/>
    <cellWatch r="G53428"/>
    <cellWatch r="G53429"/>
    <cellWatch r="G53430"/>
    <cellWatch r="G53431"/>
    <cellWatch r="G53432"/>
    <cellWatch r="G53433"/>
    <cellWatch r="G53434"/>
    <cellWatch r="G53435"/>
    <cellWatch r="G53436"/>
    <cellWatch r="G53437"/>
    <cellWatch r="G53438"/>
    <cellWatch r="G53439"/>
    <cellWatch r="G53440"/>
    <cellWatch r="G53441"/>
    <cellWatch r="G53442"/>
    <cellWatch r="G53443"/>
    <cellWatch r="G53444"/>
    <cellWatch r="G53445"/>
    <cellWatch r="G53446"/>
    <cellWatch r="G53447"/>
    <cellWatch r="G53448"/>
    <cellWatch r="G53449"/>
    <cellWatch r="G53450"/>
    <cellWatch r="G53451"/>
    <cellWatch r="G53452"/>
    <cellWatch r="G53453"/>
    <cellWatch r="G53454"/>
    <cellWatch r="G53455"/>
    <cellWatch r="G53456"/>
    <cellWatch r="G53457"/>
    <cellWatch r="G53458"/>
    <cellWatch r="G53459"/>
    <cellWatch r="G53460"/>
    <cellWatch r="G53461"/>
    <cellWatch r="G53462"/>
    <cellWatch r="G53463"/>
    <cellWatch r="G53464"/>
    <cellWatch r="G53465"/>
    <cellWatch r="G53466"/>
    <cellWatch r="G53467"/>
    <cellWatch r="G53468"/>
    <cellWatch r="G53469"/>
    <cellWatch r="G53470"/>
    <cellWatch r="G53471"/>
    <cellWatch r="G53472"/>
    <cellWatch r="G53473"/>
    <cellWatch r="G53474"/>
    <cellWatch r="G53475"/>
    <cellWatch r="G53476"/>
    <cellWatch r="G53477"/>
    <cellWatch r="G53478"/>
    <cellWatch r="G53479"/>
    <cellWatch r="G53480"/>
    <cellWatch r="G53481"/>
    <cellWatch r="G53482"/>
    <cellWatch r="G53483"/>
    <cellWatch r="G53484"/>
    <cellWatch r="G53485"/>
    <cellWatch r="G53486"/>
    <cellWatch r="G53487"/>
    <cellWatch r="G53488"/>
    <cellWatch r="G53489"/>
    <cellWatch r="G53490"/>
    <cellWatch r="G53491"/>
    <cellWatch r="G53492"/>
    <cellWatch r="G53493"/>
    <cellWatch r="G53494"/>
    <cellWatch r="G53495"/>
    <cellWatch r="G53496"/>
    <cellWatch r="G53497"/>
    <cellWatch r="G53498"/>
    <cellWatch r="G53499"/>
    <cellWatch r="G53500"/>
    <cellWatch r="G53501"/>
    <cellWatch r="G53502"/>
    <cellWatch r="G53503"/>
    <cellWatch r="G53504"/>
    <cellWatch r="G53505"/>
    <cellWatch r="G53506"/>
    <cellWatch r="G53507"/>
    <cellWatch r="G53508"/>
    <cellWatch r="G53509"/>
    <cellWatch r="G53510"/>
    <cellWatch r="G53511"/>
    <cellWatch r="G53512"/>
    <cellWatch r="G53513"/>
    <cellWatch r="G53514"/>
    <cellWatch r="G53515"/>
    <cellWatch r="G53516"/>
    <cellWatch r="G53517"/>
    <cellWatch r="G53518"/>
    <cellWatch r="G53519"/>
    <cellWatch r="G53520"/>
    <cellWatch r="G53521"/>
    <cellWatch r="G53522"/>
    <cellWatch r="G53523"/>
    <cellWatch r="G53524"/>
    <cellWatch r="G53525"/>
    <cellWatch r="G53526"/>
    <cellWatch r="G53527"/>
    <cellWatch r="G53528"/>
    <cellWatch r="G53529"/>
    <cellWatch r="G53530"/>
    <cellWatch r="G53531"/>
    <cellWatch r="G53532"/>
    <cellWatch r="G53533"/>
    <cellWatch r="G53534"/>
    <cellWatch r="G53535"/>
    <cellWatch r="G53536"/>
    <cellWatch r="G53537"/>
    <cellWatch r="G53538"/>
    <cellWatch r="G53539"/>
    <cellWatch r="G53540"/>
    <cellWatch r="G53541"/>
    <cellWatch r="G53542"/>
    <cellWatch r="G53543"/>
    <cellWatch r="G53544"/>
    <cellWatch r="G53545"/>
    <cellWatch r="G53546"/>
    <cellWatch r="G53547"/>
    <cellWatch r="G53548"/>
    <cellWatch r="G53549"/>
    <cellWatch r="G53550"/>
    <cellWatch r="G53551"/>
    <cellWatch r="G53552"/>
    <cellWatch r="G53553"/>
    <cellWatch r="G53554"/>
    <cellWatch r="G53555"/>
    <cellWatch r="G53556"/>
    <cellWatch r="G53557"/>
    <cellWatch r="G53558"/>
    <cellWatch r="G53559"/>
    <cellWatch r="G53560"/>
    <cellWatch r="G53561"/>
    <cellWatch r="G53562"/>
    <cellWatch r="G53563"/>
    <cellWatch r="G53564"/>
    <cellWatch r="G53565"/>
    <cellWatch r="G53566"/>
    <cellWatch r="G53567"/>
    <cellWatch r="G53568"/>
    <cellWatch r="G53569"/>
    <cellWatch r="G53570"/>
    <cellWatch r="G53571"/>
    <cellWatch r="G53572"/>
    <cellWatch r="G53573"/>
    <cellWatch r="G53574"/>
    <cellWatch r="G53575"/>
    <cellWatch r="G53576"/>
    <cellWatch r="G53577"/>
    <cellWatch r="G53578"/>
    <cellWatch r="G53579"/>
    <cellWatch r="G53580"/>
    <cellWatch r="G53581"/>
    <cellWatch r="G53582"/>
    <cellWatch r="G53583"/>
    <cellWatch r="G53584"/>
    <cellWatch r="G53585"/>
    <cellWatch r="G53586"/>
    <cellWatch r="G53587"/>
    <cellWatch r="G53588"/>
    <cellWatch r="G53589"/>
    <cellWatch r="G53590"/>
    <cellWatch r="G53591"/>
    <cellWatch r="G53592"/>
    <cellWatch r="G53593"/>
    <cellWatch r="G53594"/>
    <cellWatch r="G53595"/>
    <cellWatch r="G53596"/>
    <cellWatch r="G53597"/>
    <cellWatch r="G53598"/>
    <cellWatch r="G53599"/>
    <cellWatch r="G53600"/>
    <cellWatch r="G53601"/>
    <cellWatch r="G53602"/>
    <cellWatch r="G53603"/>
    <cellWatch r="G53604"/>
    <cellWatch r="G53605"/>
    <cellWatch r="G53606"/>
    <cellWatch r="G53607"/>
    <cellWatch r="G53608"/>
    <cellWatch r="G53609"/>
    <cellWatch r="G53610"/>
    <cellWatch r="G53611"/>
    <cellWatch r="G53612"/>
    <cellWatch r="G53613"/>
    <cellWatch r="G53614"/>
    <cellWatch r="G53615"/>
    <cellWatch r="G53616"/>
    <cellWatch r="G53617"/>
    <cellWatch r="G53618"/>
    <cellWatch r="G53619"/>
    <cellWatch r="G53620"/>
    <cellWatch r="G53621"/>
    <cellWatch r="G53622"/>
    <cellWatch r="G53623"/>
    <cellWatch r="G53624"/>
    <cellWatch r="G53625"/>
    <cellWatch r="G53626"/>
    <cellWatch r="G53627"/>
    <cellWatch r="G53628"/>
    <cellWatch r="G53629"/>
    <cellWatch r="G53630"/>
    <cellWatch r="G53631"/>
    <cellWatch r="G53632"/>
    <cellWatch r="G53633"/>
    <cellWatch r="G53634"/>
    <cellWatch r="G53635"/>
    <cellWatch r="G53636"/>
    <cellWatch r="G53637"/>
    <cellWatch r="G53638"/>
    <cellWatch r="G53639"/>
    <cellWatch r="G53640"/>
    <cellWatch r="G53641"/>
    <cellWatch r="G53642"/>
    <cellWatch r="G53643"/>
    <cellWatch r="G53644"/>
    <cellWatch r="G53645"/>
    <cellWatch r="G53646"/>
    <cellWatch r="G53647"/>
    <cellWatch r="G53648"/>
    <cellWatch r="G53649"/>
    <cellWatch r="G53650"/>
    <cellWatch r="G53651"/>
    <cellWatch r="G53652"/>
    <cellWatch r="G53653"/>
    <cellWatch r="G53654"/>
    <cellWatch r="G53655"/>
    <cellWatch r="G53656"/>
    <cellWatch r="G53657"/>
    <cellWatch r="G53658"/>
    <cellWatch r="G53659"/>
    <cellWatch r="G53660"/>
    <cellWatch r="G53661"/>
    <cellWatch r="G53662"/>
    <cellWatch r="G53663"/>
    <cellWatch r="G53664"/>
    <cellWatch r="G53665"/>
    <cellWatch r="G53666"/>
    <cellWatch r="G53667"/>
    <cellWatch r="G53668"/>
    <cellWatch r="G53669"/>
    <cellWatch r="G53670"/>
    <cellWatch r="G53671"/>
    <cellWatch r="G53672"/>
    <cellWatch r="G53673"/>
    <cellWatch r="G53674"/>
    <cellWatch r="G53675"/>
    <cellWatch r="G53676"/>
    <cellWatch r="G53677"/>
    <cellWatch r="G53678"/>
    <cellWatch r="G53679"/>
    <cellWatch r="G53680"/>
    <cellWatch r="G53681"/>
    <cellWatch r="G53682"/>
    <cellWatch r="G53683"/>
    <cellWatch r="G53684"/>
    <cellWatch r="G53685"/>
    <cellWatch r="G53686"/>
    <cellWatch r="G53687"/>
    <cellWatch r="G53688"/>
    <cellWatch r="G53689"/>
    <cellWatch r="G53690"/>
    <cellWatch r="G53691"/>
    <cellWatch r="G53692"/>
    <cellWatch r="G53693"/>
    <cellWatch r="G53694"/>
    <cellWatch r="G53695"/>
    <cellWatch r="G53696"/>
    <cellWatch r="G53697"/>
    <cellWatch r="G53698"/>
    <cellWatch r="G53699"/>
    <cellWatch r="G53700"/>
    <cellWatch r="G53701"/>
    <cellWatch r="G53702"/>
    <cellWatch r="G53703"/>
    <cellWatch r="G53704"/>
    <cellWatch r="G53705"/>
    <cellWatch r="G53706"/>
    <cellWatch r="G53707"/>
    <cellWatch r="G53708"/>
    <cellWatch r="G53709"/>
    <cellWatch r="G53710"/>
    <cellWatch r="G53711"/>
    <cellWatch r="G53712"/>
    <cellWatch r="G53713"/>
    <cellWatch r="G53714"/>
    <cellWatch r="G53715"/>
    <cellWatch r="G53716"/>
    <cellWatch r="G53717"/>
    <cellWatch r="G53718"/>
    <cellWatch r="G53719"/>
    <cellWatch r="G53720"/>
    <cellWatch r="G53721"/>
    <cellWatch r="G53722"/>
    <cellWatch r="G53723"/>
    <cellWatch r="G53724"/>
    <cellWatch r="G53725"/>
    <cellWatch r="G53726"/>
    <cellWatch r="G53727"/>
    <cellWatch r="G53728"/>
    <cellWatch r="G53729"/>
    <cellWatch r="G53730"/>
    <cellWatch r="G53731"/>
    <cellWatch r="G53732"/>
    <cellWatch r="G53733"/>
    <cellWatch r="G53734"/>
    <cellWatch r="G53735"/>
    <cellWatch r="G53736"/>
    <cellWatch r="G53737"/>
    <cellWatch r="G53738"/>
    <cellWatch r="G53739"/>
    <cellWatch r="G53740"/>
    <cellWatch r="G53741"/>
    <cellWatch r="G53742"/>
    <cellWatch r="G53743"/>
    <cellWatch r="G53744"/>
    <cellWatch r="G53745"/>
    <cellWatch r="G53746"/>
    <cellWatch r="G53747"/>
    <cellWatch r="G53748"/>
    <cellWatch r="G53749"/>
    <cellWatch r="G53750"/>
    <cellWatch r="G53751"/>
    <cellWatch r="G53752"/>
    <cellWatch r="G53753"/>
    <cellWatch r="G53754"/>
    <cellWatch r="G53755"/>
    <cellWatch r="G53756"/>
    <cellWatch r="G53757"/>
    <cellWatch r="G53758"/>
    <cellWatch r="G53759"/>
    <cellWatch r="G53760"/>
    <cellWatch r="G53761"/>
    <cellWatch r="G53762"/>
    <cellWatch r="G53763"/>
    <cellWatch r="G53764"/>
    <cellWatch r="G53765"/>
    <cellWatch r="G53766"/>
    <cellWatch r="G53767"/>
    <cellWatch r="G53768"/>
    <cellWatch r="G53769"/>
    <cellWatch r="G53770"/>
    <cellWatch r="G53771"/>
    <cellWatch r="G53772"/>
    <cellWatch r="G53773"/>
    <cellWatch r="G53774"/>
    <cellWatch r="G53775"/>
    <cellWatch r="G53776"/>
    <cellWatch r="G53777"/>
    <cellWatch r="G53778"/>
    <cellWatch r="G53779"/>
    <cellWatch r="G53780"/>
    <cellWatch r="G53781"/>
    <cellWatch r="G53782"/>
    <cellWatch r="G53783"/>
    <cellWatch r="G53784"/>
    <cellWatch r="G53785"/>
    <cellWatch r="G53786"/>
    <cellWatch r="G53787"/>
    <cellWatch r="G53788"/>
    <cellWatch r="G53789"/>
    <cellWatch r="G53790"/>
    <cellWatch r="G53791"/>
    <cellWatch r="G53792"/>
    <cellWatch r="G53793"/>
    <cellWatch r="G53794"/>
    <cellWatch r="G53795"/>
    <cellWatch r="G53796"/>
    <cellWatch r="G53797"/>
    <cellWatch r="G53798"/>
    <cellWatch r="G53799"/>
    <cellWatch r="G53800"/>
    <cellWatch r="G53801"/>
    <cellWatch r="G53802"/>
    <cellWatch r="G53803"/>
    <cellWatch r="G53804"/>
    <cellWatch r="G53805"/>
    <cellWatch r="G53806"/>
    <cellWatch r="G53807"/>
    <cellWatch r="G53808"/>
    <cellWatch r="G53809"/>
    <cellWatch r="G53810"/>
    <cellWatch r="G53811"/>
    <cellWatch r="G53812"/>
    <cellWatch r="G53813"/>
    <cellWatch r="G53814"/>
    <cellWatch r="G53815"/>
    <cellWatch r="G53816"/>
    <cellWatch r="G53817"/>
    <cellWatch r="G53818"/>
    <cellWatch r="G53819"/>
    <cellWatch r="G53820"/>
    <cellWatch r="G53821"/>
    <cellWatch r="G53822"/>
    <cellWatch r="G53823"/>
    <cellWatch r="G53824"/>
    <cellWatch r="G53825"/>
    <cellWatch r="G53826"/>
    <cellWatch r="G53827"/>
    <cellWatch r="G53828"/>
    <cellWatch r="G53829"/>
    <cellWatch r="G53830"/>
    <cellWatch r="G53831"/>
    <cellWatch r="G53832"/>
    <cellWatch r="G53833"/>
    <cellWatch r="G53834"/>
    <cellWatch r="G53835"/>
    <cellWatch r="G53836"/>
    <cellWatch r="G53837"/>
    <cellWatch r="G53838"/>
    <cellWatch r="G53839"/>
    <cellWatch r="G53840"/>
    <cellWatch r="G53841"/>
    <cellWatch r="G53842"/>
    <cellWatch r="G53843"/>
    <cellWatch r="G53844"/>
    <cellWatch r="G53845"/>
    <cellWatch r="G53846"/>
    <cellWatch r="G53847"/>
    <cellWatch r="G53848"/>
    <cellWatch r="G53849"/>
    <cellWatch r="G53850"/>
    <cellWatch r="G53851"/>
    <cellWatch r="G53852"/>
    <cellWatch r="G53853"/>
    <cellWatch r="G53854"/>
    <cellWatch r="G53855"/>
    <cellWatch r="G53856"/>
    <cellWatch r="G53857"/>
    <cellWatch r="G53858"/>
    <cellWatch r="G53859"/>
    <cellWatch r="G53860"/>
    <cellWatch r="G53861"/>
    <cellWatch r="G53862"/>
    <cellWatch r="G53863"/>
    <cellWatch r="G53864"/>
    <cellWatch r="G53865"/>
    <cellWatch r="G53866"/>
    <cellWatch r="G53867"/>
    <cellWatch r="G53868"/>
    <cellWatch r="G53869"/>
    <cellWatch r="G53870"/>
    <cellWatch r="G53871"/>
    <cellWatch r="G53872"/>
    <cellWatch r="G53873"/>
    <cellWatch r="G53874"/>
    <cellWatch r="G53875"/>
    <cellWatch r="G53876"/>
    <cellWatch r="G53877"/>
    <cellWatch r="G53878"/>
    <cellWatch r="G53879"/>
    <cellWatch r="G53880"/>
    <cellWatch r="G53881"/>
    <cellWatch r="G53882"/>
    <cellWatch r="G53883"/>
    <cellWatch r="G53884"/>
    <cellWatch r="G53885"/>
    <cellWatch r="G53886"/>
    <cellWatch r="G53887"/>
    <cellWatch r="G53888"/>
    <cellWatch r="G53889"/>
    <cellWatch r="G53890"/>
    <cellWatch r="G53891"/>
    <cellWatch r="G53892"/>
    <cellWatch r="G53893"/>
    <cellWatch r="G53894"/>
    <cellWatch r="G53895"/>
    <cellWatch r="G53896"/>
    <cellWatch r="G53897"/>
    <cellWatch r="G53898"/>
    <cellWatch r="G53899"/>
    <cellWatch r="G53900"/>
    <cellWatch r="G53901"/>
    <cellWatch r="G53902"/>
    <cellWatch r="G53903"/>
    <cellWatch r="G53904"/>
    <cellWatch r="G53905"/>
    <cellWatch r="G53906"/>
    <cellWatch r="G53907"/>
    <cellWatch r="G53908"/>
    <cellWatch r="G53909"/>
    <cellWatch r="G53910"/>
    <cellWatch r="G53911"/>
    <cellWatch r="G53912"/>
    <cellWatch r="G53913"/>
    <cellWatch r="G53914"/>
    <cellWatch r="G53915"/>
    <cellWatch r="G53916"/>
    <cellWatch r="G53917"/>
    <cellWatch r="G53918"/>
    <cellWatch r="G53919"/>
    <cellWatch r="G53920"/>
    <cellWatch r="G53921"/>
    <cellWatch r="G53922"/>
    <cellWatch r="G53923"/>
    <cellWatch r="G53924"/>
    <cellWatch r="G53925"/>
    <cellWatch r="G53926"/>
    <cellWatch r="G53927"/>
    <cellWatch r="G53928"/>
    <cellWatch r="G53929"/>
    <cellWatch r="G53930"/>
    <cellWatch r="G53931"/>
    <cellWatch r="G53932"/>
    <cellWatch r="G53933"/>
    <cellWatch r="G53934"/>
    <cellWatch r="G53935"/>
    <cellWatch r="G53936"/>
    <cellWatch r="G53937"/>
    <cellWatch r="G53938"/>
    <cellWatch r="G53939"/>
    <cellWatch r="G53940"/>
    <cellWatch r="G53941"/>
    <cellWatch r="G53942"/>
    <cellWatch r="G53943"/>
    <cellWatch r="G53944"/>
    <cellWatch r="G53945"/>
    <cellWatch r="G53946"/>
    <cellWatch r="G53947"/>
    <cellWatch r="G53948"/>
    <cellWatch r="G53949"/>
    <cellWatch r="G53950"/>
    <cellWatch r="G53951"/>
    <cellWatch r="G53952"/>
    <cellWatch r="G53953"/>
    <cellWatch r="G53954"/>
    <cellWatch r="G53955"/>
    <cellWatch r="G53956"/>
    <cellWatch r="G53957"/>
    <cellWatch r="G53958"/>
    <cellWatch r="G53959"/>
    <cellWatch r="G53960"/>
    <cellWatch r="G53961"/>
    <cellWatch r="G53962"/>
    <cellWatch r="G53963"/>
    <cellWatch r="G53964"/>
    <cellWatch r="G53965"/>
    <cellWatch r="G53966"/>
    <cellWatch r="G53967"/>
    <cellWatch r="G53968"/>
    <cellWatch r="G53969"/>
    <cellWatch r="G53970"/>
    <cellWatch r="G53971"/>
    <cellWatch r="G53972"/>
    <cellWatch r="G53973"/>
    <cellWatch r="G53974"/>
    <cellWatch r="G53975"/>
    <cellWatch r="G53976"/>
    <cellWatch r="G53977"/>
    <cellWatch r="G53978"/>
    <cellWatch r="G53979"/>
    <cellWatch r="G53980"/>
    <cellWatch r="G53981"/>
    <cellWatch r="G53982"/>
    <cellWatch r="G53983"/>
    <cellWatch r="G53984"/>
    <cellWatch r="G53985"/>
    <cellWatch r="G53986"/>
    <cellWatch r="G53987"/>
    <cellWatch r="G53988"/>
    <cellWatch r="G53989"/>
    <cellWatch r="G53990"/>
    <cellWatch r="G53991"/>
    <cellWatch r="G53992"/>
    <cellWatch r="G53993"/>
    <cellWatch r="G53994"/>
    <cellWatch r="G53995"/>
    <cellWatch r="G53996"/>
    <cellWatch r="G53997"/>
    <cellWatch r="G53998"/>
    <cellWatch r="G53999"/>
    <cellWatch r="G54000"/>
    <cellWatch r="G54001"/>
    <cellWatch r="G54002"/>
    <cellWatch r="G54003"/>
    <cellWatch r="G54004"/>
    <cellWatch r="G54005"/>
    <cellWatch r="G54006"/>
    <cellWatch r="G54007"/>
    <cellWatch r="G54008"/>
    <cellWatch r="G54009"/>
    <cellWatch r="G54010"/>
    <cellWatch r="G54011"/>
    <cellWatch r="G54012"/>
    <cellWatch r="G54013"/>
    <cellWatch r="G54014"/>
    <cellWatch r="G54015"/>
    <cellWatch r="G54016"/>
    <cellWatch r="G54017"/>
    <cellWatch r="G54018"/>
    <cellWatch r="G54019"/>
    <cellWatch r="G54020"/>
    <cellWatch r="G54021"/>
    <cellWatch r="G54022"/>
    <cellWatch r="G54023"/>
    <cellWatch r="G54024"/>
    <cellWatch r="G54025"/>
    <cellWatch r="G54026"/>
    <cellWatch r="G54027"/>
    <cellWatch r="G54028"/>
    <cellWatch r="G54029"/>
    <cellWatch r="G54030"/>
    <cellWatch r="G54031"/>
    <cellWatch r="G54032"/>
    <cellWatch r="G54033"/>
    <cellWatch r="G54034"/>
    <cellWatch r="G54035"/>
    <cellWatch r="G54036"/>
    <cellWatch r="G54037"/>
    <cellWatch r="G54038"/>
    <cellWatch r="G54039"/>
    <cellWatch r="G54040"/>
    <cellWatch r="G54041"/>
    <cellWatch r="G54042"/>
    <cellWatch r="G54043"/>
    <cellWatch r="G54044"/>
    <cellWatch r="G54045"/>
    <cellWatch r="G54046"/>
    <cellWatch r="G54047"/>
    <cellWatch r="G54048"/>
    <cellWatch r="G54049"/>
    <cellWatch r="G54050"/>
    <cellWatch r="G54051"/>
    <cellWatch r="G54052"/>
    <cellWatch r="G54053"/>
    <cellWatch r="G54054"/>
    <cellWatch r="G54055"/>
    <cellWatch r="G54056"/>
    <cellWatch r="G54057"/>
    <cellWatch r="G54058"/>
    <cellWatch r="G54059"/>
    <cellWatch r="G54060"/>
    <cellWatch r="G54061"/>
    <cellWatch r="G54062"/>
    <cellWatch r="G54063"/>
    <cellWatch r="G54064"/>
    <cellWatch r="G54065"/>
    <cellWatch r="G54066"/>
    <cellWatch r="G54067"/>
    <cellWatch r="G54068"/>
    <cellWatch r="G54069"/>
    <cellWatch r="G54070"/>
    <cellWatch r="G54071"/>
    <cellWatch r="G54072"/>
    <cellWatch r="G54073"/>
    <cellWatch r="G54074"/>
    <cellWatch r="G54075"/>
    <cellWatch r="G54076"/>
    <cellWatch r="G54077"/>
    <cellWatch r="G54078"/>
    <cellWatch r="G54079"/>
    <cellWatch r="G54080"/>
    <cellWatch r="G54081"/>
    <cellWatch r="G54082"/>
    <cellWatch r="G54083"/>
    <cellWatch r="G54084"/>
    <cellWatch r="G54085"/>
    <cellWatch r="G54086"/>
    <cellWatch r="G54087"/>
    <cellWatch r="G54088"/>
    <cellWatch r="G54089"/>
    <cellWatch r="G54090"/>
    <cellWatch r="G54091"/>
    <cellWatch r="G54092"/>
    <cellWatch r="G54093"/>
    <cellWatch r="G54094"/>
    <cellWatch r="G54095"/>
    <cellWatch r="G54096"/>
    <cellWatch r="G54097"/>
    <cellWatch r="G54098"/>
    <cellWatch r="G54099"/>
    <cellWatch r="G54100"/>
    <cellWatch r="G54101"/>
    <cellWatch r="G54102"/>
    <cellWatch r="G54103"/>
    <cellWatch r="G54104"/>
    <cellWatch r="G54105"/>
    <cellWatch r="G54106"/>
    <cellWatch r="G54107"/>
    <cellWatch r="G54108"/>
    <cellWatch r="G54109"/>
    <cellWatch r="G54110"/>
    <cellWatch r="G54111"/>
    <cellWatch r="G54112"/>
    <cellWatch r="G54113"/>
    <cellWatch r="G54114"/>
    <cellWatch r="G54115"/>
    <cellWatch r="G54116"/>
    <cellWatch r="G54117"/>
    <cellWatch r="G54118"/>
    <cellWatch r="G54119"/>
    <cellWatch r="G54120"/>
    <cellWatch r="G54121"/>
    <cellWatch r="G54122"/>
    <cellWatch r="G54123"/>
    <cellWatch r="G54124"/>
    <cellWatch r="G54125"/>
    <cellWatch r="G54126"/>
    <cellWatch r="G54127"/>
    <cellWatch r="G54128"/>
    <cellWatch r="G54129"/>
    <cellWatch r="G54130"/>
    <cellWatch r="G54131"/>
    <cellWatch r="G54132"/>
    <cellWatch r="G54133"/>
    <cellWatch r="G54134"/>
    <cellWatch r="G54135"/>
    <cellWatch r="G54136"/>
    <cellWatch r="G54137"/>
    <cellWatch r="G54138"/>
    <cellWatch r="G54139"/>
    <cellWatch r="G54140"/>
    <cellWatch r="G54141"/>
    <cellWatch r="G54142"/>
    <cellWatch r="G54143"/>
    <cellWatch r="G54144"/>
    <cellWatch r="G54145"/>
    <cellWatch r="G54146"/>
    <cellWatch r="G54147"/>
    <cellWatch r="G54148"/>
    <cellWatch r="G54149"/>
    <cellWatch r="G54150"/>
    <cellWatch r="G54151"/>
    <cellWatch r="G54152"/>
    <cellWatch r="G54153"/>
    <cellWatch r="G54154"/>
    <cellWatch r="G54155"/>
    <cellWatch r="G54156"/>
    <cellWatch r="G54157"/>
    <cellWatch r="G54158"/>
    <cellWatch r="G54159"/>
    <cellWatch r="G54160"/>
    <cellWatch r="G54161"/>
    <cellWatch r="G54162"/>
    <cellWatch r="G54163"/>
    <cellWatch r="G54164"/>
    <cellWatch r="G54165"/>
    <cellWatch r="G54166"/>
    <cellWatch r="G54167"/>
    <cellWatch r="G54168"/>
    <cellWatch r="G54169"/>
    <cellWatch r="G54170"/>
    <cellWatch r="G54171"/>
    <cellWatch r="G54172"/>
    <cellWatch r="G54173"/>
    <cellWatch r="G54174"/>
    <cellWatch r="G54175"/>
    <cellWatch r="G54176"/>
    <cellWatch r="G54177"/>
    <cellWatch r="G54178"/>
    <cellWatch r="G54179"/>
    <cellWatch r="G54180"/>
    <cellWatch r="G54181"/>
    <cellWatch r="G54182"/>
    <cellWatch r="G54183"/>
    <cellWatch r="G54184"/>
    <cellWatch r="G54185"/>
    <cellWatch r="G54186"/>
    <cellWatch r="G54187"/>
    <cellWatch r="G54188"/>
    <cellWatch r="G54189"/>
    <cellWatch r="G54190"/>
    <cellWatch r="G54191"/>
    <cellWatch r="G54192"/>
    <cellWatch r="G54193"/>
    <cellWatch r="G54194"/>
    <cellWatch r="G54195"/>
    <cellWatch r="G54196"/>
    <cellWatch r="G54197"/>
    <cellWatch r="G54198"/>
    <cellWatch r="G54199"/>
    <cellWatch r="G54200"/>
    <cellWatch r="G54201"/>
    <cellWatch r="G54202"/>
    <cellWatch r="G54203"/>
    <cellWatch r="G54204"/>
    <cellWatch r="G54205"/>
    <cellWatch r="G54206"/>
    <cellWatch r="G54207"/>
    <cellWatch r="G54208"/>
    <cellWatch r="G54209"/>
    <cellWatch r="G54210"/>
    <cellWatch r="G54211"/>
    <cellWatch r="G54212"/>
    <cellWatch r="G54213"/>
    <cellWatch r="G54214"/>
    <cellWatch r="G54215"/>
    <cellWatch r="G54216"/>
    <cellWatch r="G54217"/>
    <cellWatch r="G54218"/>
    <cellWatch r="G54219"/>
    <cellWatch r="G54220"/>
    <cellWatch r="G54221"/>
    <cellWatch r="G54222"/>
    <cellWatch r="G54223"/>
    <cellWatch r="G54224"/>
    <cellWatch r="G54225"/>
    <cellWatch r="G54226"/>
    <cellWatch r="G54227"/>
    <cellWatch r="G54228"/>
    <cellWatch r="G54229"/>
    <cellWatch r="G54230"/>
    <cellWatch r="G54231"/>
    <cellWatch r="G54232"/>
    <cellWatch r="G54233"/>
    <cellWatch r="G54234"/>
    <cellWatch r="G54235"/>
    <cellWatch r="G54236"/>
    <cellWatch r="G54237"/>
    <cellWatch r="G54238"/>
    <cellWatch r="G54239"/>
    <cellWatch r="G54240"/>
    <cellWatch r="G54241"/>
    <cellWatch r="G54242"/>
    <cellWatch r="G54243"/>
    <cellWatch r="G54244"/>
    <cellWatch r="G54245"/>
    <cellWatch r="G54246"/>
    <cellWatch r="G54247"/>
    <cellWatch r="G54248"/>
    <cellWatch r="G54249"/>
    <cellWatch r="G54250"/>
    <cellWatch r="G54251"/>
    <cellWatch r="G54252"/>
    <cellWatch r="G54253"/>
    <cellWatch r="G54254"/>
    <cellWatch r="G54255"/>
    <cellWatch r="G54256"/>
    <cellWatch r="G54257"/>
    <cellWatch r="G54258"/>
    <cellWatch r="G54259"/>
    <cellWatch r="G54260"/>
    <cellWatch r="G54261"/>
    <cellWatch r="G54262"/>
    <cellWatch r="G54263"/>
    <cellWatch r="G54264"/>
    <cellWatch r="G54265"/>
    <cellWatch r="G54266"/>
    <cellWatch r="G54267"/>
    <cellWatch r="G54268"/>
    <cellWatch r="G54269"/>
    <cellWatch r="G54270"/>
    <cellWatch r="G54271"/>
    <cellWatch r="G54272"/>
    <cellWatch r="G54273"/>
    <cellWatch r="G54274"/>
    <cellWatch r="G54275"/>
    <cellWatch r="G54276"/>
    <cellWatch r="G54277"/>
    <cellWatch r="G54278"/>
    <cellWatch r="G54279"/>
    <cellWatch r="G54280"/>
    <cellWatch r="G54281"/>
    <cellWatch r="G54282"/>
    <cellWatch r="G54283"/>
    <cellWatch r="G54284"/>
    <cellWatch r="G54285"/>
    <cellWatch r="G54286"/>
    <cellWatch r="G54287"/>
    <cellWatch r="G54288"/>
    <cellWatch r="G54289"/>
    <cellWatch r="G54290"/>
    <cellWatch r="G54291"/>
    <cellWatch r="G54292"/>
    <cellWatch r="G54293"/>
    <cellWatch r="G54294"/>
    <cellWatch r="G54295"/>
    <cellWatch r="G54296"/>
    <cellWatch r="G54297"/>
    <cellWatch r="G54298"/>
    <cellWatch r="G54299"/>
    <cellWatch r="G54300"/>
    <cellWatch r="G54301"/>
    <cellWatch r="G54302"/>
    <cellWatch r="G54303"/>
    <cellWatch r="G54304"/>
    <cellWatch r="G54305"/>
    <cellWatch r="G54306"/>
    <cellWatch r="G54307"/>
    <cellWatch r="G54308"/>
    <cellWatch r="G54309"/>
    <cellWatch r="G54310"/>
    <cellWatch r="G54311"/>
    <cellWatch r="G54312"/>
    <cellWatch r="G54313"/>
    <cellWatch r="G54314"/>
    <cellWatch r="G54315"/>
    <cellWatch r="G54316"/>
    <cellWatch r="G54317"/>
    <cellWatch r="G54318"/>
    <cellWatch r="G54319"/>
    <cellWatch r="G54320"/>
    <cellWatch r="G54321"/>
    <cellWatch r="G54322"/>
    <cellWatch r="G54323"/>
    <cellWatch r="G54324"/>
    <cellWatch r="G54325"/>
    <cellWatch r="G54326"/>
    <cellWatch r="G54327"/>
    <cellWatch r="G54328"/>
    <cellWatch r="G54329"/>
    <cellWatch r="G54330"/>
    <cellWatch r="G54331"/>
    <cellWatch r="G54332"/>
    <cellWatch r="G54333"/>
    <cellWatch r="G54334"/>
    <cellWatch r="G54335"/>
    <cellWatch r="G54336"/>
    <cellWatch r="G54337"/>
    <cellWatch r="G54338"/>
    <cellWatch r="G54339"/>
    <cellWatch r="G54340"/>
    <cellWatch r="G54341"/>
    <cellWatch r="G54342"/>
    <cellWatch r="G54343"/>
    <cellWatch r="G54344"/>
    <cellWatch r="G54345"/>
    <cellWatch r="G54346"/>
    <cellWatch r="G54347"/>
    <cellWatch r="G54348"/>
    <cellWatch r="G54349"/>
    <cellWatch r="G54350"/>
    <cellWatch r="G54351"/>
    <cellWatch r="G54352"/>
    <cellWatch r="G54353"/>
    <cellWatch r="G54354"/>
    <cellWatch r="G54355"/>
    <cellWatch r="G54356"/>
    <cellWatch r="G54357"/>
    <cellWatch r="G54358"/>
    <cellWatch r="G54359"/>
    <cellWatch r="G54360"/>
    <cellWatch r="G54361"/>
    <cellWatch r="G54362"/>
    <cellWatch r="G54363"/>
    <cellWatch r="G54364"/>
    <cellWatch r="G54365"/>
    <cellWatch r="G54366"/>
    <cellWatch r="G54367"/>
    <cellWatch r="G54368"/>
    <cellWatch r="G54369"/>
    <cellWatch r="G54370"/>
    <cellWatch r="G54371"/>
    <cellWatch r="G54372"/>
    <cellWatch r="G54373"/>
    <cellWatch r="G54374"/>
    <cellWatch r="G54375"/>
    <cellWatch r="G54376"/>
    <cellWatch r="G54377"/>
    <cellWatch r="G54378"/>
    <cellWatch r="G54379"/>
    <cellWatch r="G54380"/>
    <cellWatch r="G54381"/>
    <cellWatch r="G54382"/>
    <cellWatch r="G54383"/>
    <cellWatch r="G54384"/>
    <cellWatch r="G54385"/>
    <cellWatch r="G54386"/>
    <cellWatch r="G54387"/>
    <cellWatch r="G54388"/>
    <cellWatch r="G54389"/>
    <cellWatch r="G54390"/>
    <cellWatch r="G54391"/>
    <cellWatch r="G54392"/>
    <cellWatch r="G54393"/>
    <cellWatch r="G54394"/>
    <cellWatch r="G54395"/>
    <cellWatch r="G54396"/>
    <cellWatch r="G54397"/>
    <cellWatch r="G54398"/>
    <cellWatch r="G54399"/>
    <cellWatch r="G54400"/>
    <cellWatch r="G54401"/>
    <cellWatch r="G54402"/>
    <cellWatch r="G54403"/>
    <cellWatch r="G54404"/>
    <cellWatch r="G54405"/>
    <cellWatch r="G54406"/>
    <cellWatch r="G54407"/>
    <cellWatch r="G54408"/>
    <cellWatch r="G54409"/>
    <cellWatch r="G54410"/>
    <cellWatch r="G54411"/>
    <cellWatch r="G54412"/>
    <cellWatch r="G54413"/>
    <cellWatch r="G54414"/>
    <cellWatch r="G54415"/>
    <cellWatch r="G54416"/>
    <cellWatch r="G54417"/>
    <cellWatch r="G54418"/>
    <cellWatch r="G54419"/>
    <cellWatch r="G54420"/>
    <cellWatch r="G54421"/>
    <cellWatch r="G54422"/>
    <cellWatch r="G54423"/>
    <cellWatch r="G54424"/>
    <cellWatch r="G54425"/>
    <cellWatch r="G54426"/>
    <cellWatch r="G54427"/>
    <cellWatch r="G54428"/>
    <cellWatch r="G54429"/>
    <cellWatch r="G54430"/>
    <cellWatch r="G54431"/>
    <cellWatch r="G54432"/>
    <cellWatch r="G54433"/>
    <cellWatch r="G54434"/>
    <cellWatch r="G54435"/>
    <cellWatch r="G54436"/>
    <cellWatch r="G54437"/>
    <cellWatch r="G54438"/>
    <cellWatch r="G54439"/>
    <cellWatch r="G54440"/>
    <cellWatch r="G54441"/>
    <cellWatch r="G54442"/>
    <cellWatch r="G54443"/>
    <cellWatch r="G54444"/>
    <cellWatch r="G54445"/>
    <cellWatch r="G54446"/>
    <cellWatch r="G54447"/>
    <cellWatch r="G54448"/>
    <cellWatch r="G54449"/>
    <cellWatch r="G54450"/>
    <cellWatch r="G54451"/>
    <cellWatch r="G54452"/>
    <cellWatch r="G54453"/>
    <cellWatch r="G54454"/>
    <cellWatch r="G54455"/>
    <cellWatch r="G54456"/>
    <cellWatch r="G54457"/>
    <cellWatch r="G54458"/>
    <cellWatch r="G54459"/>
    <cellWatch r="G54460"/>
    <cellWatch r="G54461"/>
    <cellWatch r="G54462"/>
    <cellWatch r="G54463"/>
    <cellWatch r="G54464"/>
    <cellWatch r="G54465"/>
    <cellWatch r="G54466"/>
    <cellWatch r="G54467"/>
    <cellWatch r="G54468"/>
    <cellWatch r="G54469"/>
    <cellWatch r="G54470"/>
    <cellWatch r="G54471"/>
    <cellWatch r="G54472"/>
    <cellWatch r="G54473"/>
    <cellWatch r="G54474"/>
    <cellWatch r="G54475"/>
    <cellWatch r="G54476"/>
    <cellWatch r="G54477"/>
    <cellWatch r="G54478"/>
    <cellWatch r="G54479"/>
    <cellWatch r="G54480"/>
    <cellWatch r="G54481"/>
    <cellWatch r="G54482"/>
    <cellWatch r="G54483"/>
    <cellWatch r="G54484"/>
    <cellWatch r="G54485"/>
    <cellWatch r="G54486"/>
    <cellWatch r="G54487"/>
    <cellWatch r="G54488"/>
    <cellWatch r="G54489"/>
    <cellWatch r="G54490"/>
    <cellWatch r="G54491"/>
    <cellWatch r="G54492"/>
    <cellWatch r="G54493"/>
    <cellWatch r="G54494"/>
    <cellWatch r="G54495"/>
    <cellWatch r="G54496"/>
    <cellWatch r="G54497"/>
    <cellWatch r="G54498"/>
    <cellWatch r="G54499"/>
    <cellWatch r="G54500"/>
    <cellWatch r="G54501"/>
    <cellWatch r="G54502"/>
    <cellWatch r="G54503"/>
    <cellWatch r="G54504"/>
    <cellWatch r="G54505"/>
    <cellWatch r="G54506"/>
    <cellWatch r="G54507"/>
    <cellWatch r="G54508"/>
    <cellWatch r="G54509"/>
    <cellWatch r="G54510"/>
    <cellWatch r="G54511"/>
    <cellWatch r="G54512"/>
    <cellWatch r="G54513"/>
    <cellWatch r="G54514"/>
    <cellWatch r="G54515"/>
    <cellWatch r="G54516"/>
    <cellWatch r="G54517"/>
    <cellWatch r="G54518"/>
    <cellWatch r="G54519"/>
    <cellWatch r="G54520"/>
    <cellWatch r="G54521"/>
    <cellWatch r="G54522"/>
    <cellWatch r="G54523"/>
    <cellWatch r="G54524"/>
    <cellWatch r="G54525"/>
    <cellWatch r="G54526"/>
    <cellWatch r="G54527"/>
    <cellWatch r="G54528"/>
    <cellWatch r="G54529"/>
    <cellWatch r="G54530"/>
    <cellWatch r="G54531"/>
    <cellWatch r="G54532"/>
    <cellWatch r="G54533"/>
    <cellWatch r="G54534"/>
    <cellWatch r="G54535"/>
    <cellWatch r="G54536"/>
    <cellWatch r="G54537"/>
    <cellWatch r="G54538"/>
    <cellWatch r="G54539"/>
    <cellWatch r="G54540"/>
    <cellWatch r="G54541"/>
    <cellWatch r="G54542"/>
    <cellWatch r="G54543"/>
    <cellWatch r="G54544"/>
    <cellWatch r="G54545"/>
    <cellWatch r="G54546"/>
    <cellWatch r="G54547"/>
    <cellWatch r="G54548"/>
    <cellWatch r="G54549"/>
    <cellWatch r="G54550"/>
    <cellWatch r="G54551"/>
    <cellWatch r="G54552"/>
    <cellWatch r="G54553"/>
    <cellWatch r="G54554"/>
    <cellWatch r="G54555"/>
    <cellWatch r="G54556"/>
    <cellWatch r="G54557"/>
    <cellWatch r="G54558"/>
    <cellWatch r="G54559"/>
    <cellWatch r="G54560"/>
    <cellWatch r="G54561"/>
    <cellWatch r="G54562"/>
    <cellWatch r="G54563"/>
    <cellWatch r="G54564"/>
    <cellWatch r="G54565"/>
    <cellWatch r="G54566"/>
    <cellWatch r="G54567"/>
    <cellWatch r="G54568"/>
    <cellWatch r="G54569"/>
    <cellWatch r="G54570"/>
    <cellWatch r="G54571"/>
    <cellWatch r="G54572"/>
    <cellWatch r="G54573"/>
    <cellWatch r="G54574"/>
    <cellWatch r="G54575"/>
    <cellWatch r="G54576"/>
    <cellWatch r="G54577"/>
    <cellWatch r="G54578"/>
    <cellWatch r="G54579"/>
    <cellWatch r="G54580"/>
    <cellWatch r="G54581"/>
    <cellWatch r="G54582"/>
    <cellWatch r="G54583"/>
    <cellWatch r="G54584"/>
    <cellWatch r="G54585"/>
    <cellWatch r="G54586"/>
    <cellWatch r="G54587"/>
    <cellWatch r="G54588"/>
    <cellWatch r="G54589"/>
    <cellWatch r="G54590"/>
    <cellWatch r="G54591"/>
    <cellWatch r="G54592"/>
    <cellWatch r="G54593"/>
    <cellWatch r="G54594"/>
    <cellWatch r="G54595"/>
    <cellWatch r="G54596"/>
    <cellWatch r="G54597"/>
    <cellWatch r="G54598"/>
    <cellWatch r="G54599"/>
    <cellWatch r="G54600"/>
    <cellWatch r="G54601"/>
    <cellWatch r="G54602"/>
    <cellWatch r="G54603"/>
    <cellWatch r="G54604"/>
    <cellWatch r="G54605"/>
    <cellWatch r="G54606"/>
    <cellWatch r="G54607"/>
    <cellWatch r="G54608"/>
    <cellWatch r="G54609"/>
    <cellWatch r="G54610"/>
    <cellWatch r="G54611"/>
    <cellWatch r="G54612"/>
    <cellWatch r="G54613"/>
    <cellWatch r="G54614"/>
    <cellWatch r="G54615"/>
    <cellWatch r="G54616"/>
    <cellWatch r="G54617"/>
    <cellWatch r="G54618"/>
    <cellWatch r="G54619"/>
    <cellWatch r="G54620"/>
    <cellWatch r="G54621"/>
    <cellWatch r="G54622"/>
    <cellWatch r="G54623"/>
    <cellWatch r="G54624"/>
    <cellWatch r="G54625"/>
    <cellWatch r="G54626"/>
    <cellWatch r="G54627"/>
    <cellWatch r="G54628"/>
    <cellWatch r="G54629"/>
    <cellWatch r="G54630"/>
    <cellWatch r="G54631"/>
    <cellWatch r="G54632"/>
    <cellWatch r="G54633"/>
    <cellWatch r="G54634"/>
    <cellWatch r="G54635"/>
    <cellWatch r="G54636"/>
    <cellWatch r="G54637"/>
    <cellWatch r="G54638"/>
    <cellWatch r="G54639"/>
    <cellWatch r="G54640"/>
    <cellWatch r="G54641"/>
    <cellWatch r="G54642"/>
    <cellWatch r="G54643"/>
    <cellWatch r="G54644"/>
    <cellWatch r="G54645"/>
    <cellWatch r="G54646"/>
    <cellWatch r="G54647"/>
    <cellWatch r="G54648"/>
    <cellWatch r="G54649"/>
    <cellWatch r="G54650"/>
    <cellWatch r="G54651"/>
    <cellWatch r="G54652"/>
    <cellWatch r="G54653"/>
    <cellWatch r="G54654"/>
    <cellWatch r="G54655"/>
    <cellWatch r="G54656"/>
    <cellWatch r="G54657"/>
    <cellWatch r="G54658"/>
    <cellWatch r="G54659"/>
    <cellWatch r="G54660"/>
    <cellWatch r="G54661"/>
    <cellWatch r="G54662"/>
    <cellWatch r="G54663"/>
    <cellWatch r="G54664"/>
    <cellWatch r="G54665"/>
    <cellWatch r="G54666"/>
    <cellWatch r="G54667"/>
    <cellWatch r="G54668"/>
    <cellWatch r="G54669"/>
    <cellWatch r="G54670"/>
    <cellWatch r="G54671"/>
    <cellWatch r="G54672"/>
    <cellWatch r="G54673"/>
    <cellWatch r="G54674"/>
    <cellWatch r="G54675"/>
    <cellWatch r="G54676"/>
    <cellWatch r="G54677"/>
    <cellWatch r="G54678"/>
    <cellWatch r="G54679"/>
    <cellWatch r="G54680"/>
    <cellWatch r="G54681"/>
    <cellWatch r="G54682"/>
    <cellWatch r="G54683"/>
    <cellWatch r="G54684"/>
    <cellWatch r="G54685"/>
    <cellWatch r="G54686"/>
    <cellWatch r="G54687"/>
    <cellWatch r="G54688"/>
    <cellWatch r="G54689"/>
    <cellWatch r="G54690"/>
    <cellWatch r="G54691"/>
    <cellWatch r="G54692"/>
    <cellWatch r="G54693"/>
    <cellWatch r="G54694"/>
    <cellWatch r="G54695"/>
    <cellWatch r="G54696"/>
    <cellWatch r="G54697"/>
    <cellWatch r="G54698"/>
    <cellWatch r="G54699"/>
    <cellWatch r="G54700"/>
    <cellWatch r="G54701"/>
    <cellWatch r="G54702"/>
    <cellWatch r="G54703"/>
    <cellWatch r="G54704"/>
    <cellWatch r="G54705"/>
    <cellWatch r="G54706"/>
    <cellWatch r="G54707"/>
    <cellWatch r="G54708"/>
    <cellWatch r="G54709"/>
    <cellWatch r="G54710"/>
    <cellWatch r="G54711"/>
    <cellWatch r="G54712"/>
    <cellWatch r="G54713"/>
    <cellWatch r="G54714"/>
    <cellWatch r="G54715"/>
    <cellWatch r="G54716"/>
    <cellWatch r="G54717"/>
    <cellWatch r="G54718"/>
    <cellWatch r="G54719"/>
    <cellWatch r="G54720"/>
    <cellWatch r="G54721"/>
    <cellWatch r="G54722"/>
    <cellWatch r="G54723"/>
    <cellWatch r="G54724"/>
    <cellWatch r="G54725"/>
    <cellWatch r="G54726"/>
    <cellWatch r="G54727"/>
    <cellWatch r="G54728"/>
    <cellWatch r="G54729"/>
    <cellWatch r="G54730"/>
    <cellWatch r="G54731"/>
    <cellWatch r="G54732"/>
    <cellWatch r="G54733"/>
    <cellWatch r="G54734"/>
    <cellWatch r="G54735"/>
    <cellWatch r="G54736"/>
    <cellWatch r="G54737"/>
    <cellWatch r="G54738"/>
    <cellWatch r="G54739"/>
    <cellWatch r="G54740"/>
    <cellWatch r="G54741"/>
    <cellWatch r="G54742"/>
    <cellWatch r="G54743"/>
    <cellWatch r="G54744"/>
    <cellWatch r="G54745"/>
    <cellWatch r="G54746"/>
    <cellWatch r="G54747"/>
    <cellWatch r="G54748"/>
    <cellWatch r="G54749"/>
    <cellWatch r="G54750"/>
    <cellWatch r="G54751"/>
    <cellWatch r="G54752"/>
    <cellWatch r="G54753"/>
    <cellWatch r="G54754"/>
    <cellWatch r="G54755"/>
    <cellWatch r="G54756"/>
    <cellWatch r="G54757"/>
    <cellWatch r="G54758"/>
    <cellWatch r="G54759"/>
    <cellWatch r="G54760"/>
    <cellWatch r="G54761"/>
    <cellWatch r="G54762"/>
    <cellWatch r="G54763"/>
    <cellWatch r="G54764"/>
    <cellWatch r="G54765"/>
    <cellWatch r="G54766"/>
    <cellWatch r="G54767"/>
    <cellWatch r="G54768"/>
    <cellWatch r="G54769"/>
    <cellWatch r="G54770"/>
    <cellWatch r="G54771"/>
    <cellWatch r="G54772"/>
    <cellWatch r="G54773"/>
    <cellWatch r="G54774"/>
    <cellWatch r="G54775"/>
    <cellWatch r="G54776"/>
    <cellWatch r="G54777"/>
    <cellWatch r="G54778"/>
    <cellWatch r="G54779"/>
    <cellWatch r="G54780"/>
    <cellWatch r="G54781"/>
    <cellWatch r="G54782"/>
    <cellWatch r="G54783"/>
    <cellWatch r="G54784"/>
    <cellWatch r="G54785"/>
    <cellWatch r="G54786"/>
    <cellWatch r="G54787"/>
    <cellWatch r="G54788"/>
    <cellWatch r="G54789"/>
    <cellWatch r="G54790"/>
    <cellWatch r="G54791"/>
    <cellWatch r="G54792"/>
    <cellWatch r="G54793"/>
    <cellWatch r="G54794"/>
    <cellWatch r="G54795"/>
    <cellWatch r="G54796"/>
    <cellWatch r="G54797"/>
    <cellWatch r="G54798"/>
    <cellWatch r="G54799"/>
    <cellWatch r="G54800"/>
    <cellWatch r="G54801"/>
    <cellWatch r="G54802"/>
    <cellWatch r="G54803"/>
    <cellWatch r="G54804"/>
    <cellWatch r="G54805"/>
    <cellWatch r="G54806"/>
    <cellWatch r="G54807"/>
    <cellWatch r="G54808"/>
    <cellWatch r="G54809"/>
    <cellWatch r="G54810"/>
    <cellWatch r="G54811"/>
    <cellWatch r="G54812"/>
    <cellWatch r="G54813"/>
    <cellWatch r="G54814"/>
    <cellWatch r="G54815"/>
    <cellWatch r="G54816"/>
    <cellWatch r="G54817"/>
    <cellWatch r="G54818"/>
    <cellWatch r="G54819"/>
    <cellWatch r="G54820"/>
    <cellWatch r="G54821"/>
    <cellWatch r="G54822"/>
    <cellWatch r="G54823"/>
    <cellWatch r="G54824"/>
    <cellWatch r="G54825"/>
    <cellWatch r="G54826"/>
    <cellWatch r="G54827"/>
    <cellWatch r="G54828"/>
    <cellWatch r="G54829"/>
    <cellWatch r="G54830"/>
    <cellWatch r="G54831"/>
    <cellWatch r="G54832"/>
    <cellWatch r="G54833"/>
    <cellWatch r="G54834"/>
    <cellWatch r="G54835"/>
    <cellWatch r="G54836"/>
    <cellWatch r="G54837"/>
    <cellWatch r="G54838"/>
    <cellWatch r="G54839"/>
    <cellWatch r="G54840"/>
    <cellWatch r="G54841"/>
    <cellWatch r="G54842"/>
    <cellWatch r="G54843"/>
    <cellWatch r="G54844"/>
    <cellWatch r="G54845"/>
    <cellWatch r="G54846"/>
    <cellWatch r="G54847"/>
    <cellWatch r="G54848"/>
    <cellWatch r="G54849"/>
    <cellWatch r="G54850"/>
    <cellWatch r="G54851"/>
    <cellWatch r="G54852"/>
    <cellWatch r="G54853"/>
    <cellWatch r="G54854"/>
    <cellWatch r="G54855"/>
    <cellWatch r="G54856"/>
    <cellWatch r="G54857"/>
    <cellWatch r="G54858"/>
    <cellWatch r="G54859"/>
    <cellWatch r="G54860"/>
    <cellWatch r="G54861"/>
    <cellWatch r="G54862"/>
    <cellWatch r="G54863"/>
    <cellWatch r="G54864"/>
    <cellWatch r="G54865"/>
    <cellWatch r="G54866"/>
    <cellWatch r="G54867"/>
    <cellWatch r="G54868"/>
    <cellWatch r="G54869"/>
    <cellWatch r="G54870"/>
    <cellWatch r="G54871"/>
    <cellWatch r="G54872"/>
    <cellWatch r="G54873"/>
    <cellWatch r="G54874"/>
    <cellWatch r="G54875"/>
    <cellWatch r="G54876"/>
    <cellWatch r="G54877"/>
    <cellWatch r="G54878"/>
    <cellWatch r="G54879"/>
    <cellWatch r="G54880"/>
    <cellWatch r="G54881"/>
    <cellWatch r="G54882"/>
    <cellWatch r="G54883"/>
    <cellWatch r="G54884"/>
    <cellWatch r="G54885"/>
    <cellWatch r="G54886"/>
    <cellWatch r="G54887"/>
    <cellWatch r="G54888"/>
    <cellWatch r="G54889"/>
    <cellWatch r="G54890"/>
    <cellWatch r="G54891"/>
    <cellWatch r="G54892"/>
    <cellWatch r="G54893"/>
    <cellWatch r="G54894"/>
    <cellWatch r="G54895"/>
    <cellWatch r="G54896"/>
    <cellWatch r="G54897"/>
    <cellWatch r="G54898"/>
    <cellWatch r="G54899"/>
    <cellWatch r="G54900"/>
    <cellWatch r="G54901"/>
    <cellWatch r="G54902"/>
    <cellWatch r="G54903"/>
    <cellWatch r="G54904"/>
    <cellWatch r="G54905"/>
    <cellWatch r="G54906"/>
    <cellWatch r="G54907"/>
    <cellWatch r="G54908"/>
    <cellWatch r="G54909"/>
    <cellWatch r="G54910"/>
    <cellWatch r="G54911"/>
    <cellWatch r="G54912"/>
    <cellWatch r="G54913"/>
    <cellWatch r="G54914"/>
    <cellWatch r="G54915"/>
    <cellWatch r="G54916"/>
    <cellWatch r="G54917"/>
    <cellWatch r="G54918"/>
    <cellWatch r="G54919"/>
    <cellWatch r="G54920"/>
    <cellWatch r="G54921"/>
    <cellWatch r="G54922"/>
    <cellWatch r="G54923"/>
    <cellWatch r="G54924"/>
    <cellWatch r="G54925"/>
    <cellWatch r="G54926"/>
    <cellWatch r="G54927"/>
    <cellWatch r="G54928"/>
    <cellWatch r="G54929"/>
    <cellWatch r="G54930"/>
    <cellWatch r="G54931"/>
    <cellWatch r="G54932"/>
    <cellWatch r="G54933"/>
    <cellWatch r="G54934"/>
    <cellWatch r="G54935"/>
    <cellWatch r="G54936"/>
    <cellWatch r="G54937"/>
    <cellWatch r="G54938"/>
    <cellWatch r="G54939"/>
    <cellWatch r="G54940"/>
    <cellWatch r="G54941"/>
    <cellWatch r="G54942"/>
    <cellWatch r="G54943"/>
    <cellWatch r="G54944"/>
    <cellWatch r="G54945"/>
    <cellWatch r="G54946"/>
    <cellWatch r="G54947"/>
    <cellWatch r="G54948"/>
    <cellWatch r="G54949"/>
    <cellWatch r="G54950"/>
    <cellWatch r="G54951"/>
    <cellWatch r="G54952"/>
    <cellWatch r="G54953"/>
    <cellWatch r="G54954"/>
    <cellWatch r="G54955"/>
    <cellWatch r="G54956"/>
    <cellWatch r="G54957"/>
    <cellWatch r="G54958"/>
    <cellWatch r="G54959"/>
    <cellWatch r="G54960"/>
    <cellWatch r="G54961"/>
    <cellWatch r="G54962"/>
    <cellWatch r="G54963"/>
    <cellWatch r="G54964"/>
    <cellWatch r="G54965"/>
    <cellWatch r="G54966"/>
    <cellWatch r="G54967"/>
    <cellWatch r="G54968"/>
    <cellWatch r="G54969"/>
    <cellWatch r="G54970"/>
    <cellWatch r="G54971"/>
    <cellWatch r="G54972"/>
    <cellWatch r="G54973"/>
    <cellWatch r="G54974"/>
    <cellWatch r="G54975"/>
    <cellWatch r="G54976"/>
    <cellWatch r="G54977"/>
    <cellWatch r="G54978"/>
    <cellWatch r="G54979"/>
    <cellWatch r="G54980"/>
    <cellWatch r="G54981"/>
    <cellWatch r="G54982"/>
    <cellWatch r="G54983"/>
    <cellWatch r="G54984"/>
    <cellWatch r="G54985"/>
    <cellWatch r="G54986"/>
    <cellWatch r="G54987"/>
    <cellWatch r="G54988"/>
    <cellWatch r="G54989"/>
    <cellWatch r="G54990"/>
    <cellWatch r="G54991"/>
    <cellWatch r="G54992"/>
    <cellWatch r="G54993"/>
    <cellWatch r="G54994"/>
    <cellWatch r="G54995"/>
    <cellWatch r="G54996"/>
    <cellWatch r="G54997"/>
    <cellWatch r="G54998"/>
    <cellWatch r="G54999"/>
    <cellWatch r="G55000"/>
    <cellWatch r="G55001"/>
    <cellWatch r="G55002"/>
    <cellWatch r="G55003"/>
    <cellWatch r="G55004"/>
    <cellWatch r="G55005"/>
    <cellWatch r="G55006"/>
    <cellWatch r="G55007"/>
    <cellWatch r="G55008"/>
    <cellWatch r="G55009"/>
    <cellWatch r="G55010"/>
    <cellWatch r="G55011"/>
    <cellWatch r="G55012"/>
    <cellWatch r="G55013"/>
    <cellWatch r="G55014"/>
    <cellWatch r="G55015"/>
    <cellWatch r="G55016"/>
    <cellWatch r="G55017"/>
    <cellWatch r="G55018"/>
    <cellWatch r="G55019"/>
    <cellWatch r="G55020"/>
    <cellWatch r="G55021"/>
    <cellWatch r="G55022"/>
    <cellWatch r="G55023"/>
    <cellWatch r="G55024"/>
    <cellWatch r="G55025"/>
    <cellWatch r="G55026"/>
    <cellWatch r="G55027"/>
    <cellWatch r="G55028"/>
    <cellWatch r="G55029"/>
    <cellWatch r="G55030"/>
    <cellWatch r="G55031"/>
    <cellWatch r="G55032"/>
    <cellWatch r="G55033"/>
    <cellWatch r="G55034"/>
    <cellWatch r="G55035"/>
    <cellWatch r="G55036"/>
    <cellWatch r="G55037"/>
    <cellWatch r="G55038"/>
    <cellWatch r="G55039"/>
    <cellWatch r="G55040"/>
    <cellWatch r="G55041"/>
    <cellWatch r="G55042"/>
    <cellWatch r="G55043"/>
    <cellWatch r="G55044"/>
    <cellWatch r="G55045"/>
    <cellWatch r="G55046"/>
    <cellWatch r="G55047"/>
    <cellWatch r="G55048"/>
    <cellWatch r="G55049"/>
    <cellWatch r="G55050"/>
    <cellWatch r="G55051"/>
    <cellWatch r="G55052"/>
    <cellWatch r="G55053"/>
    <cellWatch r="G55054"/>
    <cellWatch r="G55055"/>
    <cellWatch r="G55056"/>
    <cellWatch r="G55057"/>
    <cellWatch r="G55058"/>
    <cellWatch r="G55059"/>
    <cellWatch r="G55060"/>
    <cellWatch r="G55061"/>
    <cellWatch r="G55062"/>
    <cellWatch r="G55063"/>
    <cellWatch r="G55064"/>
    <cellWatch r="G55065"/>
    <cellWatch r="G55066"/>
    <cellWatch r="G55067"/>
    <cellWatch r="G55068"/>
    <cellWatch r="G55069"/>
    <cellWatch r="G55070"/>
    <cellWatch r="G55071"/>
    <cellWatch r="G55072"/>
    <cellWatch r="G55073"/>
    <cellWatch r="G55074"/>
    <cellWatch r="G55075"/>
    <cellWatch r="G55076"/>
    <cellWatch r="G55077"/>
    <cellWatch r="G55078"/>
    <cellWatch r="G55079"/>
    <cellWatch r="G55080"/>
    <cellWatch r="G55081"/>
    <cellWatch r="G55082"/>
    <cellWatch r="G55083"/>
    <cellWatch r="G55084"/>
    <cellWatch r="G55085"/>
    <cellWatch r="G55086"/>
    <cellWatch r="G55087"/>
    <cellWatch r="G55088"/>
    <cellWatch r="G55089"/>
    <cellWatch r="G55090"/>
    <cellWatch r="G55091"/>
    <cellWatch r="G55092"/>
    <cellWatch r="G55093"/>
    <cellWatch r="G55094"/>
    <cellWatch r="G55095"/>
    <cellWatch r="G55096"/>
    <cellWatch r="G55097"/>
    <cellWatch r="G55098"/>
    <cellWatch r="G55099"/>
    <cellWatch r="G55100"/>
    <cellWatch r="G55101"/>
    <cellWatch r="G55102"/>
    <cellWatch r="G55103"/>
    <cellWatch r="G55104"/>
    <cellWatch r="G55105"/>
    <cellWatch r="G55106"/>
    <cellWatch r="G55107"/>
    <cellWatch r="G55108"/>
    <cellWatch r="G55109"/>
    <cellWatch r="G55110"/>
    <cellWatch r="G55111"/>
    <cellWatch r="G55112"/>
    <cellWatch r="G55113"/>
    <cellWatch r="G55114"/>
    <cellWatch r="G55115"/>
    <cellWatch r="G55116"/>
    <cellWatch r="G55117"/>
    <cellWatch r="G55118"/>
    <cellWatch r="G55119"/>
    <cellWatch r="G55120"/>
    <cellWatch r="G55121"/>
    <cellWatch r="G55122"/>
    <cellWatch r="G55123"/>
    <cellWatch r="G55124"/>
    <cellWatch r="G55125"/>
    <cellWatch r="G55126"/>
    <cellWatch r="G55127"/>
    <cellWatch r="G55128"/>
    <cellWatch r="G55129"/>
    <cellWatch r="G55130"/>
    <cellWatch r="G55131"/>
    <cellWatch r="G55132"/>
    <cellWatch r="G55133"/>
    <cellWatch r="G55134"/>
    <cellWatch r="G55135"/>
    <cellWatch r="G55136"/>
    <cellWatch r="G55137"/>
    <cellWatch r="G55138"/>
    <cellWatch r="G55139"/>
    <cellWatch r="G55140"/>
    <cellWatch r="G55141"/>
    <cellWatch r="G55142"/>
    <cellWatch r="G55143"/>
    <cellWatch r="G55144"/>
    <cellWatch r="G55145"/>
    <cellWatch r="G55146"/>
    <cellWatch r="G55147"/>
    <cellWatch r="G55148"/>
    <cellWatch r="G55149"/>
    <cellWatch r="G55150"/>
    <cellWatch r="G55151"/>
    <cellWatch r="G55152"/>
    <cellWatch r="G55153"/>
    <cellWatch r="G55154"/>
    <cellWatch r="G55155"/>
    <cellWatch r="G55156"/>
    <cellWatch r="G55157"/>
    <cellWatch r="G55158"/>
    <cellWatch r="G55159"/>
    <cellWatch r="G55160"/>
    <cellWatch r="G55161"/>
    <cellWatch r="G55162"/>
    <cellWatch r="G55163"/>
    <cellWatch r="G55164"/>
    <cellWatch r="G55165"/>
    <cellWatch r="G55166"/>
    <cellWatch r="G55167"/>
    <cellWatch r="G55168"/>
    <cellWatch r="G55169"/>
    <cellWatch r="G55170"/>
    <cellWatch r="G55171"/>
    <cellWatch r="G55172"/>
    <cellWatch r="G55173"/>
    <cellWatch r="G55174"/>
    <cellWatch r="G55175"/>
    <cellWatch r="G55176"/>
    <cellWatch r="G55177"/>
    <cellWatch r="G55178"/>
    <cellWatch r="G55179"/>
    <cellWatch r="G55180"/>
    <cellWatch r="G55181"/>
    <cellWatch r="G55182"/>
    <cellWatch r="G55183"/>
    <cellWatch r="G55184"/>
    <cellWatch r="G55185"/>
    <cellWatch r="G55186"/>
    <cellWatch r="G55187"/>
    <cellWatch r="G55188"/>
    <cellWatch r="G55189"/>
    <cellWatch r="G55190"/>
    <cellWatch r="G55191"/>
    <cellWatch r="G55192"/>
    <cellWatch r="G55193"/>
    <cellWatch r="G55194"/>
    <cellWatch r="G55195"/>
    <cellWatch r="G55196"/>
    <cellWatch r="G55197"/>
    <cellWatch r="G55198"/>
    <cellWatch r="G55199"/>
    <cellWatch r="G55200"/>
    <cellWatch r="G55201"/>
    <cellWatch r="G55202"/>
    <cellWatch r="G55203"/>
    <cellWatch r="G55204"/>
    <cellWatch r="G55205"/>
    <cellWatch r="G55206"/>
    <cellWatch r="G55207"/>
    <cellWatch r="G55208"/>
    <cellWatch r="G55209"/>
    <cellWatch r="G55210"/>
    <cellWatch r="G55211"/>
    <cellWatch r="G55212"/>
    <cellWatch r="G55213"/>
    <cellWatch r="G55214"/>
    <cellWatch r="G55215"/>
    <cellWatch r="G55216"/>
    <cellWatch r="G55217"/>
    <cellWatch r="G55218"/>
    <cellWatch r="G55219"/>
    <cellWatch r="G55220"/>
    <cellWatch r="G55221"/>
    <cellWatch r="G55222"/>
    <cellWatch r="G55223"/>
    <cellWatch r="G55224"/>
    <cellWatch r="G55225"/>
    <cellWatch r="G55226"/>
    <cellWatch r="G55227"/>
    <cellWatch r="G55228"/>
    <cellWatch r="G55229"/>
    <cellWatch r="G55230"/>
    <cellWatch r="G55231"/>
    <cellWatch r="G55232"/>
    <cellWatch r="G55233"/>
    <cellWatch r="G55234"/>
    <cellWatch r="G55235"/>
    <cellWatch r="G55236"/>
    <cellWatch r="G55237"/>
    <cellWatch r="G55238"/>
    <cellWatch r="G55239"/>
    <cellWatch r="G55240"/>
    <cellWatch r="G55241"/>
    <cellWatch r="G55242"/>
    <cellWatch r="G55243"/>
    <cellWatch r="G55244"/>
    <cellWatch r="G55245"/>
    <cellWatch r="G55246"/>
    <cellWatch r="G55247"/>
    <cellWatch r="G55248"/>
    <cellWatch r="G55249"/>
    <cellWatch r="G55250"/>
    <cellWatch r="G55251"/>
    <cellWatch r="G55252"/>
    <cellWatch r="G55253"/>
    <cellWatch r="G55254"/>
    <cellWatch r="G55255"/>
    <cellWatch r="G55256"/>
    <cellWatch r="G55257"/>
    <cellWatch r="G55258"/>
    <cellWatch r="G55259"/>
    <cellWatch r="G55260"/>
    <cellWatch r="G55261"/>
    <cellWatch r="G55262"/>
    <cellWatch r="G55263"/>
    <cellWatch r="G55264"/>
    <cellWatch r="G55265"/>
    <cellWatch r="G55266"/>
    <cellWatch r="G55267"/>
    <cellWatch r="G55268"/>
    <cellWatch r="G55269"/>
    <cellWatch r="G55270"/>
    <cellWatch r="G55271"/>
    <cellWatch r="G55272"/>
    <cellWatch r="G55273"/>
    <cellWatch r="G55274"/>
    <cellWatch r="G55275"/>
    <cellWatch r="G55276"/>
    <cellWatch r="G55277"/>
    <cellWatch r="G55278"/>
    <cellWatch r="G55279"/>
    <cellWatch r="G55280"/>
    <cellWatch r="G55281"/>
    <cellWatch r="G55282"/>
    <cellWatch r="G55283"/>
    <cellWatch r="G55284"/>
    <cellWatch r="G55285"/>
    <cellWatch r="G55286"/>
    <cellWatch r="G55287"/>
    <cellWatch r="G55288"/>
    <cellWatch r="G55289"/>
    <cellWatch r="G55290"/>
    <cellWatch r="G55291"/>
    <cellWatch r="G55292"/>
    <cellWatch r="G55293"/>
    <cellWatch r="G55294"/>
    <cellWatch r="G55295"/>
    <cellWatch r="G55296"/>
    <cellWatch r="G55297"/>
    <cellWatch r="G55298"/>
    <cellWatch r="G55299"/>
    <cellWatch r="G55300"/>
    <cellWatch r="G55301"/>
    <cellWatch r="G55302"/>
    <cellWatch r="G55303"/>
    <cellWatch r="G55304"/>
    <cellWatch r="G55305"/>
    <cellWatch r="G55306"/>
    <cellWatch r="G55307"/>
    <cellWatch r="G55308"/>
    <cellWatch r="G55309"/>
    <cellWatch r="G55310"/>
    <cellWatch r="G55311"/>
    <cellWatch r="G55312"/>
    <cellWatch r="G55313"/>
    <cellWatch r="G55314"/>
    <cellWatch r="G55315"/>
    <cellWatch r="G55316"/>
    <cellWatch r="G55317"/>
    <cellWatch r="G55318"/>
    <cellWatch r="G55319"/>
    <cellWatch r="G55320"/>
    <cellWatch r="G55321"/>
    <cellWatch r="G55322"/>
    <cellWatch r="G55323"/>
    <cellWatch r="G55324"/>
    <cellWatch r="G55325"/>
    <cellWatch r="G55326"/>
    <cellWatch r="G55327"/>
    <cellWatch r="G55328"/>
    <cellWatch r="G55329"/>
    <cellWatch r="G55330"/>
    <cellWatch r="G55331"/>
    <cellWatch r="G55332"/>
    <cellWatch r="G55333"/>
    <cellWatch r="G55334"/>
    <cellWatch r="G55335"/>
    <cellWatch r="G55336"/>
    <cellWatch r="G55337"/>
    <cellWatch r="G55338"/>
    <cellWatch r="G55339"/>
    <cellWatch r="G55340"/>
    <cellWatch r="G55341"/>
    <cellWatch r="G55342"/>
    <cellWatch r="G55343"/>
    <cellWatch r="G55344"/>
    <cellWatch r="G55345"/>
    <cellWatch r="G55346"/>
    <cellWatch r="G55347"/>
    <cellWatch r="G55348"/>
    <cellWatch r="G55349"/>
    <cellWatch r="G55350"/>
    <cellWatch r="G55351"/>
    <cellWatch r="G55352"/>
    <cellWatch r="G55353"/>
    <cellWatch r="G55354"/>
    <cellWatch r="G55355"/>
    <cellWatch r="G55356"/>
    <cellWatch r="G55357"/>
    <cellWatch r="G55358"/>
    <cellWatch r="G55359"/>
    <cellWatch r="G55360"/>
    <cellWatch r="G55361"/>
    <cellWatch r="G55362"/>
    <cellWatch r="G55363"/>
    <cellWatch r="G55364"/>
    <cellWatch r="G55365"/>
    <cellWatch r="G55366"/>
    <cellWatch r="G55367"/>
    <cellWatch r="G55368"/>
    <cellWatch r="G55369"/>
    <cellWatch r="G55370"/>
    <cellWatch r="G55371"/>
    <cellWatch r="G55372"/>
    <cellWatch r="G55373"/>
    <cellWatch r="G55374"/>
    <cellWatch r="G55375"/>
    <cellWatch r="G55376"/>
    <cellWatch r="G55377"/>
    <cellWatch r="G55378"/>
    <cellWatch r="G55379"/>
    <cellWatch r="G55380"/>
    <cellWatch r="G55381"/>
    <cellWatch r="G55382"/>
    <cellWatch r="G55383"/>
    <cellWatch r="G55384"/>
    <cellWatch r="G55385"/>
    <cellWatch r="G55386"/>
    <cellWatch r="G55387"/>
    <cellWatch r="G55388"/>
    <cellWatch r="G55389"/>
    <cellWatch r="G55390"/>
    <cellWatch r="G55391"/>
    <cellWatch r="G55392"/>
    <cellWatch r="G55393"/>
    <cellWatch r="G55394"/>
    <cellWatch r="G55395"/>
    <cellWatch r="G55396"/>
    <cellWatch r="G55397"/>
    <cellWatch r="G55398"/>
    <cellWatch r="G55399"/>
    <cellWatch r="G55400"/>
    <cellWatch r="G55401"/>
    <cellWatch r="G55402"/>
    <cellWatch r="G55403"/>
    <cellWatch r="G55404"/>
    <cellWatch r="G55405"/>
    <cellWatch r="G55406"/>
    <cellWatch r="G55407"/>
    <cellWatch r="G55408"/>
    <cellWatch r="G55409"/>
    <cellWatch r="G55410"/>
    <cellWatch r="G55411"/>
    <cellWatch r="G55412"/>
    <cellWatch r="G55413"/>
    <cellWatch r="G55414"/>
    <cellWatch r="G55415"/>
    <cellWatch r="G55416"/>
    <cellWatch r="G55417"/>
    <cellWatch r="G55418"/>
    <cellWatch r="G55419"/>
    <cellWatch r="G55420"/>
    <cellWatch r="G55421"/>
    <cellWatch r="G55422"/>
    <cellWatch r="G55423"/>
    <cellWatch r="G55424"/>
    <cellWatch r="G55425"/>
    <cellWatch r="G55426"/>
    <cellWatch r="G55427"/>
    <cellWatch r="G55428"/>
    <cellWatch r="G55429"/>
    <cellWatch r="G55430"/>
    <cellWatch r="G55431"/>
    <cellWatch r="G55432"/>
    <cellWatch r="G55433"/>
    <cellWatch r="G55434"/>
    <cellWatch r="G55435"/>
    <cellWatch r="G55436"/>
    <cellWatch r="G55437"/>
    <cellWatch r="G55438"/>
    <cellWatch r="G55439"/>
    <cellWatch r="G55440"/>
    <cellWatch r="G55441"/>
    <cellWatch r="G55442"/>
    <cellWatch r="G55443"/>
    <cellWatch r="G55444"/>
    <cellWatch r="G55445"/>
    <cellWatch r="G55446"/>
    <cellWatch r="G55447"/>
    <cellWatch r="G55448"/>
    <cellWatch r="G55449"/>
    <cellWatch r="G55450"/>
    <cellWatch r="G55451"/>
    <cellWatch r="G55452"/>
    <cellWatch r="G55453"/>
    <cellWatch r="G55454"/>
    <cellWatch r="G55455"/>
    <cellWatch r="G55456"/>
    <cellWatch r="G55457"/>
    <cellWatch r="G55458"/>
    <cellWatch r="G55459"/>
    <cellWatch r="G55460"/>
    <cellWatch r="G55461"/>
    <cellWatch r="G55462"/>
    <cellWatch r="G55463"/>
    <cellWatch r="G55464"/>
    <cellWatch r="G55465"/>
    <cellWatch r="G55466"/>
    <cellWatch r="G55467"/>
    <cellWatch r="G55468"/>
    <cellWatch r="G55469"/>
    <cellWatch r="G55470"/>
    <cellWatch r="G55471"/>
    <cellWatch r="G55472"/>
    <cellWatch r="G55473"/>
    <cellWatch r="G55474"/>
    <cellWatch r="G55475"/>
    <cellWatch r="G55476"/>
    <cellWatch r="G55477"/>
    <cellWatch r="G55478"/>
    <cellWatch r="G55479"/>
    <cellWatch r="G55480"/>
    <cellWatch r="G55481"/>
    <cellWatch r="G55482"/>
    <cellWatch r="G55483"/>
    <cellWatch r="G55484"/>
    <cellWatch r="G55485"/>
    <cellWatch r="G55486"/>
    <cellWatch r="G55487"/>
    <cellWatch r="G55488"/>
    <cellWatch r="G55489"/>
    <cellWatch r="G55490"/>
    <cellWatch r="G55491"/>
    <cellWatch r="G55492"/>
    <cellWatch r="G55493"/>
    <cellWatch r="G55494"/>
    <cellWatch r="G55495"/>
    <cellWatch r="G55496"/>
    <cellWatch r="G55497"/>
    <cellWatch r="G55498"/>
    <cellWatch r="G55499"/>
    <cellWatch r="G55500"/>
    <cellWatch r="G55501"/>
    <cellWatch r="G55502"/>
    <cellWatch r="G55503"/>
    <cellWatch r="G55504"/>
    <cellWatch r="G55505"/>
    <cellWatch r="G55506"/>
    <cellWatch r="G55507"/>
    <cellWatch r="G55508"/>
    <cellWatch r="G55509"/>
    <cellWatch r="G55510"/>
    <cellWatch r="G55511"/>
    <cellWatch r="G55512"/>
    <cellWatch r="G55513"/>
    <cellWatch r="G55514"/>
    <cellWatch r="G55515"/>
    <cellWatch r="G55516"/>
    <cellWatch r="G55517"/>
    <cellWatch r="G55518"/>
    <cellWatch r="G55519"/>
    <cellWatch r="G55520"/>
    <cellWatch r="G55521"/>
    <cellWatch r="G55522"/>
    <cellWatch r="G55523"/>
    <cellWatch r="G55524"/>
    <cellWatch r="G55525"/>
    <cellWatch r="G55526"/>
    <cellWatch r="G55527"/>
    <cellWatch r="G55528"/>
    <cellWatch r="G55529"/>
    <cellWatch r="G55530"/>
    <cellWatch r="G55531"/>
    <cellWatch r="G55532"/>
    <cellWatch r="G55533"/>
    <cellWatch r="G55534"/>
    <cellWatch r="G55535"/>
    <cellWatch r="G55536"/>
    <cellWatch r="G55537"/>
    <cellWatch r="G55538"/>
    <cellWatch r="G55539"/>
    <cellWatch r="G55540"/>
    <cellWatch r="G55541"/>
    <cellWatch r="G55542"/>
    <cellWatch r="G55543"/>
    <cellWatch r="G55544"/>
    <cellWatch r="G55545"/>
    <cellWatch r="G55546"/>
    <cellWatch r="G55547"/>
    <cellWatch r="G55548"/>
    <cellWatch r="G55549"/>
    <cellWatch r="G55550"/>
    <cellWatch r="G55551"/>
    <cellWatch r="G55552"/>
    <cellWatch r="G55553"/>
    <cellWatch r="G55554"/>
    <cellWatch r="G55555"/>
    <cellWatch r="G55556"/>
    <cellWatch r="G55557"/>
    <cellWatch r="G55558"/>
    <cellWatch r="G55559"/>
    <cellWatch r="G55560"/>
    <cellWatch r="G55561"/>
    <cellWatch r="G55562"/>
    <cellWatch r="G55563"/>
    <cellWatch r="G55564"/>
    <cellWatch r="G55565"/>
    <cellWatch r="G55566"/>
    <cellWatch r="G55567"/>
    <cellWatch r="G55568"/>
    <cellWatch r="G55569"/>
    <cellWatch r="G55570"/>
    <cellWatch r="G55571"/>
    <cellWatch r="G55572"/>
    <cellWatch r="G55573"/>
    <cellWatch r="G55574"/>
    <cellWatch r="G55575"/>
    <cellWatch r="G55576"/>
    <cellWatch r="G55577"/>
    <cellWatch r="G55578"/>
    <cellWatch r="G55579"/>
    <cellWatch r="G55580"/>
    <cellWatch r="G55581"/>
    <cellWatch r="G55582"/>
    <cellWatch r="G55583"/>
    <cellWatch r="G55584"/>
    <cellWatch r="G55585"/>
    <cellWatch r="G55586"/>
    <cellWatch r="G55587"/>
    <cellWatch r="G55588"/>
    <cellWatch r="G55589"/>
    <cellWatch r="G55590"/>
    <cellWatch r="G55591"/>
    <cellWatch r="G55592"/>
    <cellWatch r="G55593"/>
    <cellWatch r="G55594"/>
    <cellWatch r="G55595"/>
    <cellWatch r="G55596"/>
    <cellWatch r="G55597"/>
    <cellWatch r="G55598"/>
    <cellWatch r="G55599"/>
    <cellWatch r="G55600"/>
    <cellWatch r="G55601"/>
    <cellWatch r="G55602"/>
    <cellWatch r="G55603"/>
    <cellWatch r="G55604"/>
    <cellWatch r="G55605"/>
    <cellWatch r="G55606"/>
    <cellWatch r="G55607"/>
    <cellWatch r="G55608"/>
    <cellWatch r="G55609"/>
    <cellWatch r="G55610"/>
    <cellWatch r="G55611"/>
    <cellWatch r="G55612"/>
    <cellWatch r="G55613"/>
    <cellWatch r="G55614"/>
    <cellWatch r="G55615"/>
    <cellWatch r="G55616"/>
    <cellWatch r="G55617"/>
    <cellWatch r="G55618"/>
    <cellWatch r="G55619"/>
    <cellWatch r="G55620"/>
    <cellWatch r="G55621"/>
    <cellWatch r="G55622"/>
    <cellWatch r="G55623"/>
    <cellWatch r="G55624"/>
    <cellWatch r="G55625"/>
    <cellWatch r="G55626"/>
    <cellWatch r="G55627"/>
    <cellWatch r="G55628"/>
    <cellWatch r="G55629"/>
    <cellWatch r="G55630"/>
    <cellWatch r="G55631"/>
    <cellWatch r="G55632"/>
    <cellWatch r="G55633"/>
    <cellWatch r="G55634"/>
    <cellWatch r="G55635"/>
    <cellWatch r="G55636"/>
    <cellWatch r="G55637"/>
    <cellWatch r="G55638"/>
    <cellWatch r="G55639"/>
    <cellWatch r="G55640"/>
    <cellWatch r="G55641"/>
    <cellWatch r="G55642"/>
    <cellWatch r="G55643"/>
    <cellWatch r="G55644"/>
    <cellWatch r="G55645"/>
    <cellWatch r="G55646"/>
    <cellWatch r="G55647"/>
    <cellWatch r="G55648"/>
    <cellWatch r="G55649"/>
    <cellWatch r="G55650"/>
    <cellWatch r="G55651"/>
    <cellWatch r="G55652"/>
    <cellWatch r="G55653"/>
    <cellWatch r="G55654"/>
    <cellWatch r="G55655"/>
    <cellWatch r="G55656"/>
    <cellWatch r="G55657"/>
    <cellWatch r="G55658"/>
    <cellWatch r="G55659"/>
    <cellWatch r="G55660"/>
    <cellWatch r="G55661"/>
    <cellWatch r="G55662"/>
    <cellWatch r="G55663"/>
    <cellWatch r="G55664"/>
    <cellWatch r="G55665"/>
    <cellWatch r="G55666"/>
    <cellWatch r="G55667"/>
    <cellWatch r="G55668"/>
    <cellWatch r="G55669"/>
    <cellWatch r="G55670"/>
    <cellWatch r="G55671"/>
    <cellWatch r="G55672"/>
    <cellWatch r="G55673"/>
    <cellWatch r="G55674"/>
    <cellWatch r="G55675"/>
    <cellWatch r="G55676"/>
    <cellWatch r="G55677"/>
    <cellWatch r="G55678"/>
    <cellWatch r="G55679"/>
    <cellWatch r="G55680"/>
    <cellWatch r="G55681"/>
    <cellWatch r="G55682"/>
    <cellWatch r="G55683"/>
    <cellWatch r="G55684"/>
    <cellWatch r="G55685"/>
    <cellWatch r="G55686"/>
    <cellWatch r="G55687"/>
    <cellWatch r="G55688"/>
    <cellWatch r="G55689"/>
    <cellWatch r="G55690"/>
    <cellWatch r="G55691"/>
    <cellWatch r="G55692"/>
    <cellWatch r="G55693"/>
    <cellWatch r="G55694"/>
    <cellWatch r="G55695"/>
    <cellWatch r="G55696"/>
    <cellWatch r="G55697"/>
    <cellWatch r="G55698"/>
    <cellWatch r="G55699"/>
    <cellWatch r="G55700"/>
    <cellWatch r="G55701"/>
    <cellWatch r="G55702"/>
    <cellWatch r="G55703"/>
    <cellWatch r="G55704"/>
    <cellWatch r="G55705"/>
    <cellWatch r="G55706"/>
    <cellWatch r="G55707"/>
    <cellWatch r="G55708"/>
    <cellWatch r="G55709"/>
    <cellWatch r="G55710"/>
    <cellWatch r="G55711"/>
    <cellWatch r="G55712"/>
    <cellWatch r="G55713"/>
    <cellWatch r="G55714"/>
    <cellWatch r="G55715"/>
    <cellWatch r="G55716"/>
    <cellWatch r="G55717"/>
    <cellWatch r="G55718"/>
    <cellWatch r="G55719"/>
    <cellWatch r="G55720"/>
    <cellWatch r="G55721"/>
    <cellWatch r="G55722"/>
    <cellWatch r="G55723"/>
    <cellWatch r="G55724"/>
    <cellWatch r="G55725"/>
    <cellWatch r="G55726"/>
    <cellWatch r="G55727"/>
    <cellWatch r="G55728"/>
    <cellWatch r="G55729"/>
    <cellWatch r="G55730"/>
    <cellWatch r="G55731"/>
    <cellWatch r="G55732"/>
    <cellWatch r="G55733"/>
    <cellWatch r="G55734"/>
    <cellWatch r="G55735"/>
    <cellWatch r="G55736"/>
    <cellWatch r="G55737"/>
    <cellWatch r="G55738"/>
    <cellWatch r="G55739"/>
    <cellWatch r="G55740"/>
    <cellWatch r="G55741"/>
    <cellWatch r="G55742"/>
    <cellWatch r="G55743"/>
    <cellWatch r="G55744"/>
    <cellWatch r="G55745"/>
    <cellWatch r="G55746"/>
    <cellWatch r="G55747"/>
    <cellWatch r="G55748"/>
    <cellWatch r="G55749"/>
    <cellWatch r="G55750"/>
    <cellWatch r="G55751"/>
    <cellWatch r="G55752"/>
    <cellWatch r="G55753"/>
    <cellWatch r="G55754"/>
    <cellWatch r="G55755"/>
    <cellWatch r="G55756"/>
    <cellWatch r="G55757"/>
    <cellWatch r="G55758"/>
    <cellWatch r="G55759"/>
    <cellWatch r="G55760"/>
    <cellWatch r="G55761"/>
    <cellWatch r="G55762"/>
    <cellWatch r="G55763"/>
    <cellWatch r="G55764"/>
    <cellWatch r="G55765"/>
    <cellWatch r="G55766"/>
    <cellWatch r="G55767"/>
    <cellWatch r="G55768"/>
    <cellWatch r="G55769"/>
    <cellWatch r="G55770"/>
    <cellWatch r="G55771"/>
    <cellWatch r="G55772"/>
    <cellWatch r="G55773"/>
    <cellWatch r="G55774"/>
    <cellWatch r="G55775"/>
    <cellWatch r="G55776"/>
    <cellWatch r="G55777"/>
    <cellWatch r="G55778"/>
    <cellWatch r="G55779"/>
    <cellWatch r="G55780"/>
    <cellWatch r="G55781"/>
    <cellWatch r="G55782"/>
    <cellWatch r="G55783"/>
    <cellWatch r="G55784"/>
    <cellWatch r="G55785"/>
    <cellWatch r="G55786"/>
    <cellWatch r="G55787"/>
    <cellWatch r="G55788"/>
    <cellWatch r="G55789"/>
    <cellWatch r="G55790"/>
    <cellWatch r="G55791"/>
    <cellWatch r="G55792"/>
    <cellWatch r="G55793"/>
    <cellWatch r="G55794"/>
    <cellWatch r="G55795"/>
    <cellWatch r="G55796"/>
    <cellWatch r="G55797"/>
    <cellWatch r="G55798"/>
    <cellWatch r="G55799"/>
    <cellWatch r="G55800"/>
    <cellWatch r="G55801"/>
    <cellWatch r="G55802"/>
    <cellWatch r="G55803"/>
    <cellWatch r="G55804"/>
    <cellWatch r="G55805"/>
    <cellWatch r="G55806"/>
    <cellWatch r="G55807"/>
    <cellWatch r="G55808"/>
    <cellWatch r="G55809"/>
    <cellWatch r="G55810"/>
    <cellWatch r="G55811"/>
    <cellWatch r="G55812"/>
    <cellWatch r="G55813"/>
    <cellWatch r="G55814"/>
    <cellWatch r="G55815"/>
    <cellWatch r="G55816"/>
    <cellWatch r="G55817"/>
    <cellWatch r="G55818"/>
    <cellWatch r="G55819"/>
    <cellWatch r="G55820"/>
    <cellWatch r="G55821"/>
    <cellWatch r="G55822"/>
    <cellWatch r="G55823"/>
    <cellWatch r="G55824"/>
    <cellWatch r="G55825"/>
    <cellWatch r="G55826"/>
    <cellWatch r="G55827"/>
    <cellWatch r="G55828"/>
    <cellWatch r="G55829"/>
    <cellWatch r="G55830"/>
    <cellWatch r="G55831"/>
    <cellWatch r="G55832"/>
    <cellWatch r="G55833"/>
    <cellWatch r="G55834"/>
    <cellWatch r="G55835"/>
    <cellWatch r="G55836"/>
    <cellWatch r="G55837"/>
    <cellWatch r="G55838"/>
    <cellWatch r="G55839"/>
    <cellWatch r="G55840"/>
    <cellWatch r="G55841"/>
    <cellWatch r="G55842"/>
    <cellWatch r="G55843"/>
    <cellWatch r="G55844"/>
    <cellWatch r="G55845"/>
    <cellWatch r="G55846"/>
    <cellWatch r="G55847"/>
    <cellWatch r="G55848"/>
    <cellWatch r="G55849"/>
    <cellWatch r="G55850"/>
    <cellWatch r="G55851"/>
    <cellWatch r="G55852"/>
    <cellWatch r="G55853"/>
    <cellWatch r="G55854"/>
    <cellWatch r="G55855"/>
    <cellWatch r="G55856"/>
    <cellWatch r="G55857"/>
    <cellWatch r="G55858"/>
    <cellWatch r="G55859"/>
    <cellWatch r="G55860"/>
    <cellWatch r="G55861"/>
    <cellWatch r="G55862"/>
    <cellWatch r="G55863"/>
    <cellWatch r="G55864"/>
    <cellWatch r="G55865"/>
    <cellWatch r="G55866"/>
    <cellWatch r="G55867"/>
    <cellWatch r="G55868"/>
    <cellWatch r="G55869"/>
    <cellWatch r="G55870"/>
    <cellWatch r="G55871"/>
    <cellWatch r="G55872"/>
    <cellWatch r="G55873"/>
    <cellWatch r="G55874"/>
    <cellWatch r="G55875"/>
    <cellWatch r="G55876"/>
    <cellWatch r="G55877"/>
    <cellWatch r="G55878"/>
    <cellWatch r="G55879"/>
    <cellWatch r="G55880"/>
    <cellWatch r="G55881"/>
    <cellWatch r="G55882"/>
    <cellWatch r="G55883"/>
    <cellWatch r="G55884"/>
    <cellWatch r="G55885"/>
    <cellWatch r="G55886"/>
    <cellWatch r="G55887"/>
    <cellWatch r="G55888"/>
    <cellWatch r="G55889"/>
    <cellWatch r="G55890"/>
    <cellWatch r="G55891"/>
    <cellWatch r="G55892"/>
    <cellWatch r="G55893"/>
    <cellWatch r="G55894"/>
    <cellWatch r="G55895"/>
    <cellWatch r="G55896"/>
    <cellWatch r="G55897"/>
    <cellWatch r="G55898"/>
    <cellWatch r="G55899"/>
    <cellWatch r="G55900"/>
    <cellWatch r="G55901"/>
    <cellWatch r="G55902"/>
    <cellWatch r="G55903"/>
    <cellWatch r="G55904"/>
    <cellWatch r="G55905"/>
    <cellWatch r="G55906"/>
    <cellWatch r="G55907"/>
    <cellWatch r="G55908"/>
    <cellWatch r="G55909"/>
    <cellWatch r="G55910"/>
    <cellWatch r="G55911"/>
    <cellWatch r="G55912"/>
    <cellWatch r="G55913"/>
    <cellWatch r="G55914"/>
    <cellWatch r="G55915"/>
    <cellWatch r="G55916"/>
    <cellWatch r="G55917"/>
    <cellWatch r="G55918"/>
    <cellWatch r="G55919"/>
    <cellWatch r="G55920"/>
    <cellWatch r="G55921"/>
    <cellWatch r="G55922"/>
    <cellWatch r="G55923"/>
    <cellWatch r="G55924"/>
    <cellWatch r="G55925"/>
    <cellWatch r="G55926"/>
    <cellWatch r="G55927"/>
    <cellWatch r="G55928"/>
    <cellWatch r="G55929"/>
    <cellWatch r="G55930"/>
    <cellWatch r="G55931"/>
    <cellWatch r="G55932"/>
    <cellWatch r="G55933"/>
    <cellWatch r="G55934"/>
    <cellWatch r="G55935"/>
    <cellWatch r="G55936"/>
    <cellWatch r="G55937"/>
    <cellWatch r="G55938"/>
    <cellWatch r="G55939"/>
    <cellWatch r="G55940"/>
    <cellWatch r="G55941"/>
    <cellWatch r="G55942"/>
    <cellWatch r="G55943"/>
    <cellWatch r="G55944"/>
    <cellWatch r="G55945"/>
    <cellWatch r="G55946"/>
    <cellWatch r="G55947"/>
    <cellWatch r="G55948"/>
    <cellWatch r="G55949"/>
    <cellWatch r="G55950"/>
    <cellWatch r="G55951"/>
    <cellWatch r="G55952"/>
    <cellWatch r="G55953"/>
    <cellWatch r="G55954"/>
    <cellWatch r="G55955"/>
    <cellWatch r="G55956"/>
    <cellWatch r="G55957"/>
    <cellWatch r="G55958"/>
    <cellWatch r="G55959"/>
    <cellWatch r="G55960"/>
    <cellWatch r="G55961"/>
    <cellWatch r="G55962"/>
    <cellWatch r="G55963"/>
    <cellWatch r="G55964"/>
    <cellWatch r="G55965"/>
    <cellWatch r="G55966"/>
    <cellWatch r="G55967"/>
    <cellWatch r="G55968"/>
    <cellWatch r="G55969"/>
    <cellWatch r="G55970"/>
    <cellWatch r="G55971"/>
    <cellWatch r="G55972"/>
    <cellWatch r="G55973"/>
    <cellWatch r="G55974"/>
    <cellWatch r="G55975"/>
    <cellWatch r="G55976"/>
    <cellWatch r="G55977"/>
    <cellWatch r="G55978"/>
    <cellWatch r="G55979"/>
    <cellWatch r="G55980"/>
    <cellWatch r="G55981"/>
    <cellWatch r="G55982"/>
    <cellWatch r="G55983"/>
    <cellWatch r="G55984"/>
    <cellWatch r="G55985"/>
    <cellWatch r="G55986"/>
    <cellWatch r="G55987"/>
    <cellWatch r="G55988"/>
    <cellWatch r="G55989"/>
    <cellWatch r="G55990"/>
    <cellWatch r="G55991"/>
    <cellWatch r="G55992"/>
    <cellWatch r="G55993"/>
    <cellWatch r="G55994"/>
    <cellWatch r="G55995"/>
    <cellWatch r="G55996"/>
    <cellWatch r="G55997"/>
    <cellWatch r="G55998"/>
    <cellWatch r="G55999"/>
    <cellWatch r="G56000"/>
    <cellWatch r="G56001"/>
    <cellWatch r="G56002"/>
    <cellWatch r="G56003"/>
    <cellWatch r="G56004"/>
    <cellWatch r="G56005"/>
    <cellWatch r="G56006"/>
    <cellWatch r="G56007"/>
    <cellWatch r="G56008"/>
    <cellWatch r="G56009"/>
    <cellWatch r="G56010"/>
    <cellWatch r="G56011"/>
    <cellWatch r="G56012"/>
    <cellWatch r="G56013"/>
    <cellWatch r="G56014"/>
    <cellWatch r="G56015"/>
    <cellWatch r="G56016"/>
    <cellWatch r="G56017"/>
    <cellWatch r="G56018"/>
    <cellWatch r="G56019"/>
    <cellWatch r="G56020"/>
    <cellWatch r="G56021"/>
    <cellWatch r="G56022"/>
    <cellWatch r="G56023"/>
    <cellWatch r="G56024"/>
    <cellWatch r="G56025"/>
    <cellWatch r="G56026"/>
    <cellWatch r="G56027"/>
    <cellWatch r="G56028"/>
    <cellWatch r="G56029"/>
    <cellWatch r="G56030"/>
    <cellWatch r="G56031"/>
    <cellWatch r="G56032"/>
    <cellWatch r="G56033"/>
    <cellWatch r="G56034"/>
    <cellWatch r="G56035"/>
    <cellWatch r="G56036"/>
    <cellWatch r="G56037"/>
    <cellWatch r="G56038"/>
    <cellWatch r="G56039"/>
    <cellWatch r="G56040"/>
    <cellWatch r="G56041"/>
    <cellWatch r="G56042"/>
    <cellWatch r="G56043"/>
    <cellWatch r="G56044"/>
    <cellWatch r="G56045"/>
    <cellWatch r="G56046"/>
    <cellWatch r="G56047"/>
    <cellWatch r="G56048"/>
    <cellWatch r="G56049"/>
    <cellWatch r="G56050"/>
    <cellWatch r="G56051"/>
    <cellWatch r="G56052"/>
    <cellWatch r="G56053"/>
    <cellWatch r="G56054"/>
    <cellWatch r="G56055"/>
    <cellWatch r="G56056"/>
    <cellWatch r="G56057"/>
    <cellWatch r="G56058"/>
    <cellWatch r="G56059"/>
    <cellWatch r="G56060"/>
    <cellWatch r="G56061"/>
    <cellWatch r="G56062"/>
    <cellWatch r="G56063"/>
    <cellWatch r="G56064"/>
    <cellWatch r="G56065"/>
    <cellWatch r="G56066"/>
    <cellWatch r="G56067"/>
    <cellWatch r="G56068"/>
    <cellWatch r="G56069"/>
    <cellWatch r="G56070"/>
    <cellWatch r="G56071"/>
    <cellWatch r="G56072"/>
    <cellWatch r="G56073"/>
    <cellWatch r="G56074"/>
    <cellWatch r="G56075"/>
    <cellWatch r="G56076"/>
    <cellWatch r="G56077"/>
    <cellWatch r="G56078"/>
    <cellWatch r="G56079"/>
    <cellWatch r="G56080"/>
    <cellWatch r="G56081"/>
    <cellWatch r="G56082"/>
    <cellWatch r="G56083"/>
    <cellWatch r="G56084"/>
    <cellWatch r="G56085"/>
    <cellWatch r="G56086"/>
    <cellWatch r="G56087"/>
    <cellWatch r="G56088"/>
    <cellWatch r="G56089"/>
    <cellWatch r="G56090"/>
    <cellWatch r="G56091"/>
    <cellWatch r="G56092"/>
    <cellWatch r="G56093"/>
    <cellWatch r="G56094"/>
    <cellWatch r="G56095"/>
    <cellWatch r="G56096"/>
    <cellWatch r="G56097"/>
    <cellWatch r="G56098"/>
    <cellWatch r="G56099"/>
    <cellWatch r="G56100"/>
    <cellWatch r="G56101"/>
    <cellWatch r="G56102"/>
    <cellWatch r="G56103"/>
    <cellWatch r="G56104"/>
    <cellWatch r="G56105"/>
    <cellWatch r="G56106"/>
    <cellWatch r="G56107"/>
    <cellWatch r="G56108"/>
    <cellWatch r="G56109"/>
    <cellWatch r="G56110"/>
    <cellWatch r="G56111"/>
    <cellWatch r="G56112"/>
    <cellWatch r="G56113"/>
    <cellWatch r="G56114"/>
    <cellWatch r="G56115"/>
    <cellWatch r="G56116"/>
    <cellWatch r="G56117"/>
    <cellWatch r="G56118"/>
    <cellWatch r="G56119"/>
    <cellWatch r="G56120"/>
    <cellWatch r="G56121"/>
    <cellWatch r="G56122"/>
    <cellWatch r="G56123"/>
    <cellWatch r="G56124"/>
    <cellWatch r="G56125"/>
    <cellWatch r="G56126"/>
    <cellWatch r="G56127"/>
    <cellWatch r="G56128"/>
    <cellWatch r="G56129"/>
    <cellWatch r="G56130"/>
    <cellWatch r="G56131"/>
    <cellWatch r="G56132"/>
    <cellWatch r="G56133"/>
    <cellWatch r="G56134"/>
    <cellWatch r="G56135"/>
    <cellWatch r="G56136"/>
    <cellWatch r="G56137"/>
    <cellWatch r="G56138"/>
    <cellWatch r="G56139"/>
    <cellWatch r="G56140"/>
    <cellWatch r="G56141"/>
    <cellWatch r="G56142"/>
    <cellWatch r="G56143"/>
    <cellWatch r="G56144"/>
    <cellWatch r="G56145"/>
    <cellWatch r="G56146"/>
    <cellWatch r="G56147"/>
    <cellWatch r="G56148"/>
    <cellWatch r="G56149"/>
    <cellWatch r="G56150"/>
    <cellWatch r="G56151"/>
    <cellWatch r="G56152"/>
    <cellWatch r="G56153"/>
    <cellWatch r="G56154"/>
    <cellWatch r="G56155"/>
    <cellWatch r="G56156"/>
    <cellWatch r="G56157"/>
    <cellWatch r="G56158"/>
    <cellWatch r="G56159"/>
    <cellWatch r="G56160"/>
    <cellWatch r="G56161"/>
    <cellWatch r="G56162"/>
    <cellWatch r="G56163"/>
    <cellWatch r="G56164"/>
    <cellWatch r="G56165"/>
    <cellWatch r="G56166"/>
    <cellWatch r="G56167"/>
    <cellWatch r="G56168"/>
    <cellWatch r="G56169"/>
    <cellWatch r="G56170"/>
    <cellWatch r="G56171"/>
    <cellWatch r="G56172"/>
    <cellWatch r="G56173"/>
    <cellWatch r="G56174"/>
    <cellWatch r="G56175"/>
    <cellWatch r="G56176"/>
    <cellWatch r="G56177"/>
    <cellWatch r="G56178"/>
    <cellWatch r="G56179"/>
    <cellWatch r="G56180"/>
    <cellWatch r="G56181"/>
    <cellWatch r="G56182"/>
    <cellWatch r="G56183"/>
    <cellWatch r="G56184"/>
    <cellWatch r="G56185"/>
    <cellWatch r="G56186"/>
    <cellWatch r="G56187"/>
    <cellWatch r="G56188"/>
    <cellWatch r="G56189"/>
    <cellWatch r="G56190"/>
    <cellWatch r="G56191"/>
    <cellWatch r="G56192"/>
    <cellWatch r="G56193"/>
    <cellWatch r="G56194"/>
    <cellWatch r="G56195"/>
    <cellWatch r="G56196"/>
    <cellWatch r="G56197"/>
    <cellWatch r="G56198"/>
    <cellWatch r="G56199"/>
    <cellWatch r="G56200"/>
    <cellWatch r="G56201"/>
    <cellWatch r="G56202"/>
    <cellWatch r="G56203"/>
    <cellWatch r="G56204"/>
    <cellWatch r="G56205"/>
    <cellWatch r="G56206"/>
    <cellWatch r="G56207"/>
    <cellWatch r="G56208"/>
    <cellWatch r="G56209"/>
    <cellWatch r="G56210"/>
    <cellWatch r="G56211"/>
    <cellWatch r="G56212"/>
    <cellWatch r="G56213"/>
    <cellWatch r="G56214"/>
    <cellWatch r="G56215"/>
    <cellWatch r="G56216"/>
    <cellWatch r="G56217"/>
    <cellWatch r="G56218"/>
    <cellWatch r="G56219"/>
    <cellWatch r="G56220"/>
    <cellWatch r="G56221"/>
    <cellWatch r="G56222"/>
    <cellWatch r="G56223"/>
    <cellWatch r="G56224"/>
    <cellWatch r="G56225"/>
    <cellWatch r="G56226"/>
    <cellWatch r="G56227"/>
    <cellWatch r="G56228"/>
    <cellWatch r="G56229"/>
    <cellWatch r="G56230"/>
    <cellWatch r="G56231"/>
    <cellWatch r="G56232"/>
    <cellWatch r="G56233"/>
    <cellWatch r="G56234"/>
    <cellWatch r="G56235"/>
    <cellWatch r="G56236"/>
    <cellWatch r="G56237"/>
    <cellWatch r="G56238"/>
    <cellWatch r="G56239"/>
    <cellWatch r="G56240"/>
    <cellWatch r="G56241"/>
    <cellWatch r="G56242"/>
    <cellWatch r="G56243"/>
    <cellWatch r="G56244"/>
    <cellWatch r="G56245"/>
    <cellWatch r="G56246"/>
    <cellWatch r="G56247"/>
    <cellWatch r="G56248"/>
    <cellWatch r="G56249"/>
    <cellWatch r="G56250"/>
    <cellWatch r="G56251"/>
    <cellWatch r="G56252"/>
    <cellWatch r="G56253"/>
    <cellWatch r="G56254"/>
    <cellWatch r="G56255"/>
    <cellWatch r="G56256"/>
    <cellWatch r="G56257"/>
    <cellWatch r="G56258"/>
    <cellWatch r="G56259"/>
    <cellWatch r="G56260"/>
    <cellWatch r="G56261"/>
    <cellWatch r="G56262"/>
    <cellWatch r="G56263"/>
    <cellWatch r="G56264"/>
    <cellWatch r="G56265"/>
    <cellWatch r="G56266"/>
    <cellWatch r="G56267"/>
    <cellWatch r="G56268"/>
    <cellWatch r="G56269"/>
    <cellWatch r="G56270"/>
    <cellWatch r="G56271"/>
    <cellWatch r="G56272"/>
    <cellWatch r="G56273"/>
    <cellWatch r="G56274"/>
    <cellWatch r="G56275"/>
    <cellWatch r="G56276"/>
    <cellWatch r="G56277"/>
    <cellWatch r="G56278"/>
    <cellWatch r="G56279"/>
    <cellWatch r="G56280"/>
    <cellWatch r="G56281"/>
    <cellWatch r="G56282"/>
    <cellWatch r="G56283"/>
    <cellWatch r="G56284"/>
    <cellWatch r="G56285"/>
    <cellWatch r="G56286"/>
    <cellWatch r="G56287"/>
    <cellWatch r="G56288"/>
    <cellWatch r="G56289"/>
    <cellWatch r="G56290"/>
    <cellWatch r="G56291"/>
    <cellWatch r="G56292"/>
    <cellWatch r="G56293"/>
    <cellWatch r="G56294"/>
    <cellWatch r="G56295"/>
    <cellWatch r="G56296"/>
    <cellWatch r="G56297"/>
    <cellWatch r="G56298"/>
    <cellWatch r="G56299"/>
    <cellWatch r="G56300"/>
    <cellWatch r="G56301"/>
    <cellWatch r="G56302"/>
    <cellWatch r="G56303"/>
    <cellWatch r="G56304"/>
    <cellWatch r="G56305"/>
    <cellWatch r="G56306"/>
    <cellWatch r="G56307"/>
    <cellWatch r="G56308"/>
    <cellWatch r="G56309"/>
    <cellWatch r="G56310"/>
    <cellWatch r="G56311"/>
    <cellWatch r="G56312"/>
    <cellWatch r="G56313"/>
    <cellWatch r="G56314"/>
    <cellWatch r="G56315"/>
    <cellWatch r="G56316"/>
    <cellWatch r="G56317"/>
    <cellWatch r="G56318"/>
    <cellWatch r="G56319"/>
    <cellWatch r="G56320"/>
    <cellWatch r="G56321"/>
    <cellWatch r="G56322"/>
    <cellWatch r="G56323"/>
    <cellWatch r="G56324"/>
    <cellWatch r="G56325"/>
    <cellWatch r="G56326"/>
    <cellWatch r="G56327"/>
    <cellWatch r="G56328"/>
    <cellWatch r="G56329"/>
    <cellWatch r="G56330"/>
    <cellWatch r="G56331"/>
    <cellWatch r="G56332"/>
    <cellWatch r="G56333"/>
    <cellWatch r="G56334"/>
    <cellWatch r="G56335"/>
    <cellWatch r="G56336"/>
    <cellWatch r="G56337"/>
    <cellWatch r="G56338"/>
    <cellWatch r="G56339"/>
    <cellWatch r="G56340"/>
    <cellWatch r="G56341"/>
    <cellWatch r="G56342"/>
    <cellWatch r="G56343"/>
    <cellWatch r="G56344"/>
    <cellWatch r="G56345"/>
    <cellWatch r="G56346"/>
    <cellWatch r="G56347"/>
    <cellWatch r="G56348"/>
    <cellWatch r="G56349"/>
    <cellWatch r="G56350"/>
    <cellWatch r="G56351"/>
    <cellWatch r="G56352"/>
    <cellWatch r="G56353"/>
    <cellWatch r="G56354"/>
    <cellWatch r="G56355"/>
    <cellWatch r="G56356"/>
    <cellWatch r="G56357"/>
    <cellWatch r="G56358"/>
    <cellWatch r="G56359"/>
    <cellWatch r="G56360"/>
    <cellWatch r="G56361"/>
    <cellWatch r="G56362"/>
    <cellWatch r="G56363"/>
    <cellWatch r="G56364"/>
    <cellWatch r="G56365"/>
    <cellWatch r="G56366"/>
    <cellWatch r="G56367"/>
    <cellWatch r="G56368"/>
    <cellWatch r="G56369"/>
    <cellWatch r="G56370"/>
    <cellWatch r="G56371"/>
    <cellWatch r="G56372"/>
    <cellWatch r="G56373"/>
    <cellWatch r="G56374"/>
    <cellWatch r="G56375"/>
    <cellWatch r="G56376"/>
    <cellWatch r="G56377"/>
    <cellWatch r="G56378"/>
    <cellWatch r="G56379"/>
    <cellWatch r="G56380"/>
    <cellWatch r="G56381"/>
    <cellWatch r="G56382"/>
    <cellWatch r="G56383"/>
    <cellWatch r="G56384"/>
    <cellWatch r="G56385"/>
    <cellWatch r="G56386"/>
    <cellWatch r="G56387"/>
    <cellWatch r="G56388"/>
    <cellWatch r="G56389"/>
    <cellWatch r="G56390"/>
    <cellWatch r="G56391"/>
    <cellWatch r="G56392"/>
    <cellWatch r="G56393"/>
    <cellWatch r="G56394"/>
    <cellWatch r="G56395"/>
    <cellWatch r="G56396"/>
    <cellWatch r="G56397"/>
    <cellWatch r="G56398"/>
    <cellWatch r="G56399"/>
    <cellWatch r="G56400"/>
    <cellWatch r="G56401"/>
    <cellWatch r="G56402"/>
    <cellWatch r="G56403"/>
    <cellWatch r="G56404"/>
    <cellWatch r="G56405"/>
    <cellWatch r="G56406"/>
    <cellWatch r="G56407"/>
    <cellWatch r="G56408"/>
    <cellWatch r="G56409"/>
    <cellWatch r="G56410"/>
    <cellWatch r="G56411"/>
    <cellWatch r="G56412"/>
    <cellWatch r="G56413"/>
    <cellWatch r="G56414"/>
    <cellWatch r="G56415"/>
    <cellWatch r="G56416"/>
    <cellWatch r="G56417"/>
    <cellWatch r="G56418"/>
    <cellWatch r="G56419"/>
    <cellWatch r="G56420"/>
    <cellWatch r="G56421"/>
    <cellWatch r="G56422"/>
    <cellWatch r="G56423"/>
    <cellWatch r="G56424"/>
    <cellWatch r="G56425"/>
    <cellWatch r="G56426"/>
    <cellWatch r="G56427"/>
    <cellWatch r="G56428"/>
    <cellWatch r="G56429"/>
    <cellWatch r="G56430"/>
    <cellWatch r="G56431"/>
    <cellWatch r="G56432"/>
    <cellWatch r="G56433"/>
    <cellWatch r="G56434"/>
    <cellWatch r="G56435"/>
    <cellWatch r="G56436"/>
    <cellWatch r="G56437"/>
    <cellWatch r="G56438"/>
    <cellWatch r="G56439"/>
    <cellWatch r="G56440"/>
    <cellWatch r="G56441"/>
    <cellWatch r="G56442"/>
    <cellWatch r="G56443"/>
    <cellWatch r="G56444"/>
    <cellWatch r="G56445"/>
    <cellWatch r="G56446"/>
    <cellWatch r="G56447"/>
    <cellWatch r="G56448"/>
    <cellWatch r="G56449"/>
    <cellWatch r="G56450"/>
    <cellWatch r="G56451"/>
    <cellWatch r="G56452"/>
    <cellWatch r="G56453"/>
    <cellWatch r="G56454"/>
    <cellWatch r="G56455"/>
    <cellWatch r="G56456"/>
    <cellWatch r="G56457"/>
    <cellWatch r="G56458"/>
    <cellWatch r="G56459"/>
    <cellWatch r="G56460"/>
    <cellWatch r="G56461"/>
    <cellWatch r="G56462"/>
    <cellWatch r="G56463"/>
    <cellWatch r="G56464"/>
    <cellWatch r="G56465"/>
    <cellWatch r="G56466"/>
    <cellWatch r="G56467"/>
    <cellWatch r="G56468"/>
    <cellWatch r="G56469"/>
    <cellWatch r="G56470"/>
    <cellWatch r="G56471"/>
    <cellWatch r="G56472"/>
    <cellWatch r="G56473"/>
    <cellWatch r="G56474"/>
    <cellWatch r="G56475"/>
    <cellWatch r="G56476"/>
    <cellWatch r="G56477"/>
    <cellWatch r="G56478"/>
    <cellWatch r="G56479"/>
    <cellWatch r="G56480"/>
    <cellWatch r="G56481"/>
    <cellWatch r="G56482"/>
    <cellWatch r="G56483"/>
    <cellWatch r="G56484"/>
    <cellWatch r="G56485"/>
    <cellWatch r="G56486"/>
    <cellWatch r="G56487"/>
    <cellWatch r="G56488"/>
    <cellWatch r="G56489"/>
    <cellWatch r="G56490"/>
    <cellWatch r="G56491"/>
    <cellWatch r="G56492"/>
    <cellWatch r="G56493"/>
    <cellWatch r="G56494"/>
    <cellWatch r="G56495"/>
    <cellWatch r="G56496"/>
    <cellWatch r="G56497"/>
    <cellWatch r="G56498"/>
    <cellWatch r="G56499"/>
    <cellWatch r="G56500"/>
    <cellWatch r="G56501"/>
    <cellWatch r="G56502"/>
    <cellWatch r="G56503"/>
    <cellWatch r="G56504"/>
    <cellWatch r="G56505"/>
    <cellWatch r="G56506"/>
    <cellWatch r="G56507"/>
    <cellWatch r="G56508"/>
    <cellWatch r="G56509"/>
    <cellWatch r="G56510"/>
    <cellWatch r="G56511"/>
    <cellWatch r="G56512"/>
    <cellWatch r="G56513"/>
    <cellWatch r="G56514"/>
    <cellWatch r="G56515"/>
    <cellWatch r="G56516"/>
    <cellWatch r="G56517"/>
    <cellWatch r="G56518"/>
    <cellWatch r="G56519"/>
    <cellWatch r="G56520"/>
    <cellWatch r="G56521"/>
    <cellWatch r="G56522"/>
    <cellWatch r="G56523"/>
    <cellWatch r="G56524"/>
    <cellWatch r="G56525"/>
    <cellWatch r="G56526"/>
    <cellWatch r="G56527"/>
    <cellWatch r="G56528"/>
    <cellWatch r="G56529"/>
    <cellWatch r="G56530"/>
    <cellWatch r="G56531"/>
    <cellWatch r="G56532"/>
    <cellWatch r="G56533"/>
    <cellWatch r="G56534"/>
    <cellWatch r="G56535"/>
    <cellWatch r="G56536"/>
    <cellWatch r="G56537"/>
    <cellWatch r="G56538"/>
    <cellWatch r="G56539"/>
    <cellWatch r="G56540"/>
    <cellWatch r="G56541"/>
    <cellWatch r="G56542"/>
    <cellWatch r="G56543"/>
    <cellWatch r="G56544"/>
    <cellWatch r="G56545"/>
    <cellWatch r="G56546"/>
    <cellWatch r="G56547"/>
    <cellWatch r="G56548"/>
    <cellWatch r="G56549"/>
    <cellWatch r="G56550"/>
    <cellWatch r="G56551"/>
    <cellWatch r="G56552"/>
    <cellWatch r="G56553"/>
    <cellWatch r="G56554"/>
    <cellWatch r="G56555"/>
    <cellWatch r="G56556"/>
    <cellWatch r="G56557"/>
    <cellWatch r="G56558"/>
    <cellWatch r="G56559"/>
    <cellWatch r="G56560"/>
    <cellWatch r="G56561"/>
    <cellWatch r="G56562"/>
    <cellWatch r="G56563"/>
    <cellWatch r="G56564"/>
    <cellWatch r="G56565"/>
    <cellWatch r="G56566"/>
    <cellWatch r="G56567"/>
    <cellWatch r="G56568"/>
    <cellWatch r="G56569"/>
    <cellWatch r="G56570"/>
    <cellWatch r="G56571"/>
    <cellWatch r="G56572"/>
    <cellWatch r="G56573"/>
    <cellWatch r="G56574"/>
    <cellWatch r="G56575"/>
    <cellWatch r="G56576"/>
    <cellWatch r="G56577"/>
    <cellWatch r="G56578"/>
    <cellWatch r="G56579"/>
    <cellWatch r="G56580"/>
    <cellWatch r="G56581"/>
    <cellWatch r="G56582"/>
    <cellWatch r="G56583"/>
    <cellWatch r="G56584"/>
    <cellWatch r="G56585"/>
    <cellWatch r="G56586"/>
    <cellWatch r="G56587"/>
    <cellWatch r="G56588"/>
    <cellWatch r="G56589"/>
    <cellWatch r="G56590"/>
    <cellWatch r="G56591"/>
    <cellWatch r="G56592"/>
    <cellWatch r="G56593"/>
    <cellWatch r="G56594"/>
    <cellWatch r="G56595"/>
    <cellWatch r="G56596"/>
    <cellWatch r="G56597"/>
    <cellWatch r="G56598"/>
    <cellWatch r="G56599"/>
    <cellWatch r="G56600"/>
    <cellWatch r="G56601"/>
    <cellWatch r="G56602"/>
    <cellWatch r="G56603"/>
    <cellWatch r="G56604"/>
    <cellWatch r="G56605"/>
    <cellWatch r="G56606"/>
    <cellWatch r="G56607"/>
    <cellWatch r="G56608"/>
    <cellWatch r="G56609"/>
    <cellWatch r="G56610"/>
    <cellWatch r="G56611"/>
    <cellWatch r="G56612"/>
    <cellWatch r="G56613"/>
    <cellWatch r="G56614"/>
    <cellWatch r="G56615"/>
    <cellWatch r="G56616"/>
    <cellWatch r="G56617"/>
    <cellWatch r="G56618"/>
    <cellWatch r="G56619"/>
    <cellWatch r="G56620"/>
    <cellWatch r="G56621"/>
    <cellWatch r="G56622"/>
    <cellWatch r="G56623"/>
    <cellWatch r="G56624"/>
    <cellWatch r="G56625"/>
    <cellWatch r="G56626"/>
    <cellWatch r="G56627"/>
    <cellWatch r="G56628"/>
    <cellWatch r="G56629"/>
    <cellWatch r="G56630"/>
    <cellWatch r="G56631"/>
    <cellWatch r="G56632"/>
    <cellWatch r="G56633"/>
    <cellWatch r="G56634"/>
    <cellWatch r="G56635"/>
    <cellWatch r="G56636"/>
    <cellWatch r="G56637"/>
    <cellWatch r="G56638"/>
    <cellWatch r="G56639"/>
    <cellWatch r="G56640"/>
    <cellWatch r="G56641"/>
    <cellWatch r="G56642"/>
    <cellWatch r="G56643"/>
    <cellWatch r="G56644"/>
    <cellWatch r="G56645"/>
    <cellWatch r="G56646"/>
    <cellWatch r="G56647"/>
    <cellWatch r="G56648"/>
    <cellWatch r="G56649"/>
    <cellWatch r="G56650"/>
    <cellWatch r="G56651"/>
    <cellWatch r="G56652"/>
    <cellWatch r="G56653"/>
    <cellWatch r="G56654"/>
    <cellWatch r="G56655"/>
    <cellWatch r="G56656"/>
    <cellWatch r="G56657"/>
    <cellWatch r="G56658"/>
    <cellWatch r="G56659"/>
    <cellWatch r="G56660"/>
    <cellWatch r="G56661"/>
    <cellWatch r="G56662"/>
    <cellWatch r="G56663"/>
    <cellWatch r="G56664"/>
    <cellWatch r="G56665"/>
    <cellWatch r="G56666"/>
    <cellWatch r="G56667"/>
    <cellWatch r="G56668"/>
    <cellWatch r="G56669"/>
    <cellWatch r="G56670"/>
    <cellWatch r="G56671"/>
    <cellWatch r="G56672"/>
    <cellWatch r="G56673"/>
    <cellWatch r="G56674"/>
    <cellWatch r="G56675"/>
    <cellWatch r="G56676"/>
    <cellWatch r="G56677"/>
    <cellWatch r="G56678"/>
    <cellWatch r="G56679"/>
    <cellWatch r="G56680"/>
    <cellWatch r="G56681"/>
    <cellWatch r="G56682"/>
    <cellWatch r="G56683"/>
    <cellWatch r="G56684"/>
    <cellWatch r="G56685"/>
    <cellWatch r="G56686"/>
    <cellWatch r="G56687"/>
    <cellWatch r="G56688"/>
    <cellWatch r="G56689"/>
    <cellWatch r="G56690"/>
    <cellWatch r="G56691"/>
    <cellWatch r="G56692"/>
    <cellWatch r="G56693"/>
    <cellWatch r="G56694"/>
    <cellWatch r="G56695"/>
    <cellWatch r="G56696"/>
    <cellWatch r="G56697"/>
    <cellWatch r="G56698"/>
    <cellWatch r="G56699"/>
    <cellWatch r="G56700"/>
    <cellWatch r="G56701"/>
    <cellWatch r="G56702"/>
    <cellWatch r="G56703"/>
    <cellWatch r="G56704"/>
    <cellWatch r="G56705"/>
    <cellWatch r="G56706"/>
    <cellWatch r="G56707"/>
    <cellWatch r="G56708"/>
    <cellWatch r="G56709"/>
    <cellWatch r="G56710"/>
    <cellWatch r="G56711"/>
    <cellWatch r="G56712"/>
    <cellWatch r="G56713"/>
    <cellWatch r="G56714"/>
    <cellWatch r="G56715"/>
    <cellWatch r="G56716"/>
    <cellWatch r="G56717"/>
    <cellWatch r="G56718"/>
    <cellWatch r="G56719"/>
    <cellWatch r="G56720"/>
    <cellWatch r="G56721"/>
    <cellWatch r="G56722"/>
    <cellWatch r="G56723"/>
    <cellWatch r="G56724"/>
    <cellWatch r="G56725"/>
    <cellWatch r="G56726"/>
    <cellWatch r="G56727"/>
    <cellWatch r="G56728"/>
    <cellWatch r="G56729"/>
    <cellWatch r="G56730"/>
    <cellWatch r="G56731"/>
    <cellWatch r="G56732"/>
    <cellWatch r="G56733"/>
    <cellWatch r="G56734"/>
    <cellWatch r="G56735"/>
    <cellWatch r="G56736"/>
    <cellWatch r="G56737"/>
    <cellWatch r="G56738"/>
    <cellWatch r="G56739"/>
    <cellWatch r="G56740"/>
    <cellWatch r="G56741"/>
    <cellWatch r="G56742"/>
    <cellWatch r="G56743"/>
    <cellWatch r="G56744"/>
    <cellWatch r="G56745"/>
    <cellWatch r="G56746"/>
    <cellWatch r="G56747"/>
    <cellWatch r="G56748"/>
    <cellWatch r="G56749"/>
    <cellWatch r="G56750"/>
    <cellWatch r="G56751"/>
    <cellWatch r="G56752"/>
    <cellWatch r="G56753"/>
    <cellWatch r="G56754"/>
    <cellWatch r="G56755"/>
    <cellWatch r="G56756"/>
    <cellWatch r="G56757"/>
    <cellWatch r="G56758"/>
    <cellWatch r="G56759"/>
    <cellWatch r="G56760"/>
    <cellWatch r="G56761"/>
    <cellWatch r="G56762"/>
    <cellWatch r="G56763"/>
    <cellWatch r="G56764"/>
    <cellWatch r="G56765"/>
    <cellWatch r="G56766"/>
    <cellWatch r="G56767"/>
    <cellWatch r="G56768"/>
    <cellWatch r="G56769"/>
    <cellWatch r="G56770"/>
    <cellWatch r="G56771"/>
    <cellWatch r="G56772"/>
    <cellWatch r="G56773"/>
    <cellWatch r="G56774"/>
    <cellWatch r="G56775"/>
    <cellWatch r="G56776"/>
    <cellWatch r="G56777"/>
    <cellWatch r="G56778"/>
    <cellWatch r="G56779"/>
    <cellWatch r="G56780"/>
    <cellWatch r="G56781"/>
    <cellWatch r="G56782"/>
    <cellWatch r="G56783"/>
    <cellWatch r="G56784"/>
    <cellWatch r="G56785"/>
    <cellWatch r="G56786"/>
    <cellWatch r="G56787"/>
    <cellWatch r="G56788"/>
    <cellWatch r="G56789"/>
    <cellWatch r="G56790"/>
    <cellWatch r="G56791"/>
    <cellWatch r="G56792"/>
    <cellWatch r="G56793"/>
    <cellWatch r="G56794"/>
    <cellWatch r="G56795"/>
    <cellWatch r="G56796"/>
    <cellWatch r="G56797"/>
    <cellWatch r="G56798"/>
    <cellWatch r="G56799"/>
    <cellWatch r="G56800"/>
    <cellWatch r="G56801"/>
    <cellWatch r="G56802"/>
    <cellWatch r="G56803"/>
    <cellWatch r="G56804"/>
    <cellWatch r="G56805"/>
    <cellWatch r="G56806"/>
    <cellWatch r="G56807"/>
    <cellWatch r="G56808"/>
    <cellWatch r="G56809"/>
    <cellWatch r="G56810"/>
    <cellWatch r="G56811"/>
    <cellWatch r="G56812"/>
    <cellWatch r="G56813"/>
    <cellWatch r="G56814"/>
    <cellWatch r="G56815"/>
    <cellWatch r="G56816"/>
    <cellWatch r="G56817"/>
    <cellWatch r="G56818"/>
    <cellWatch r="G56819"/>
    <cellWatch r="G56820"/>
    <cellWatch r="G56821"/>
    <cellWatch r="G56822"/>
    <cellWatch r="G56823"/>
    <cellWatch r="G56824"/>
    <cellWatch r="G56825"/>
    <cellWatch r="G56826"/>
    <cellWatch r="G56827"/>
    <cellWatch r="G56828"/>
    <cellWatch r="G56829"/>
    <cellWatch r="G56830"/>
    <cellWatch r="G56831"/>
    <cellWatch r="G56832"/>
    <cellWatch r="G56833"/>
    <cellWatch r="G56834"/>
    <cellWatch r="G56835"/>
    <cellWatch r="G56836"/>
    <cellWatch r="G56837"/>
    <cellWatch r="G56838"/>
    <cellWatch r="G56839"/>
    <cellWatch r="G56840"/>
    <cellWatch r="G56841"/>
    <cellWatch r="G56842"/>
    <cellWatch r="G56843"/>
    <cellWatch r="G56844"/>
    <cellWatch r="G56845"/>
    <cellWatch r="G56846"/>
    <cellWatch r="G56847"/>
    <cellWatch r="G56848"/>
    <cellWatch r="G56849"/>
    <cellWatch r="G56850"/>
    <cellWatch r="G56851"/>
    <cellWatch r="G56852"/>
    <cellWatch r="G56853"/>
    <cellWatch r="G56854"/>
    <cellWatch r="G56855"/>
    <cellWatch r="G56856"/>
    <cellWatch r="G56857"/>
    <cellWatch r="G56858"/>
    <cellWatch r="G56859"/>
    <cellWatch r="G56860"/>
    <cellWatch r="G56861"/>
    <cellWatch r="G56862"/>
    <cellWatch r="G56863"/>
    <cellWatch r="G56864"/>
    <cellWatch r="G56865"/>
    <cellWatch r="G56866"/>
    <cellWatch r="G56867"/>
    <cellWatch r="G56868"/>
    <cellWatch r="G56869"/>
    <cellWatch r="G56870"/>
    <cellWatch r="G56871"/>
    <cellWatch r="G56872"/>
    <cellWatch r="G56873"/>
    <cellWatch r="G56874"/>
    <cellWatch r="G56875"/>
    <cellWatch r="G56876"/>
    <cellWatch r="G56877"/>
    <cellWatch r="G56878"/>
    <cellWatch r="G56879"/>
    <cellWatch r="G56880"/>
    <cellWatch r="G56881"/>
    <cellWatch r="G56882"/>
    <cellWatch r="G56883"/>
    <cellWatch r="G56884"/>
    <cellWatch r="G56885"/>
    <cellWatch r="G56886"/>
    <cellWatch r="G56887"/>
    <cellWatch r="G56888"/>
    <cellWatch r="G56889"/>
    <cellWatch r="G56890"/>
    <cellWatch r="G56891"/>
    <cellWatch r="G56892"/>
    <cellWatch r="G56893"/>
    <cellWatch r="G56894"/>
    <cellWatch r="G56895"/>
    <cellWatch r="G56896"/>
    <cellWatch r="G56897"/>
    <cellWatch r="G56898"/>
    <cellWatch r="G56899"/>
    <cellWatch r="G56900"/>
    <cellWatch r="G56901"/>
    <cellWatch r="G56902"/>
    <cellWatch r="G56903"/>
    <cellWatch r="G56904"/>
    <cellWatch r="G56905"/>
    <cellWatch r="G56906"/>
    <cellWatch r="G56907"/>
    <cellWatch r="G56908"/>
    <cellWatch r="G56909"/>
    <cellWatch r="G56910"/>
    <cellWatch r="G56911"/>
    <cellWatch r="G56912"/>
    <cellWatch r="G56913"/>
    <cellWatch r="G56914"/>
    <cellWatch r="G56915"/>
    <cellWatch r="G56916"/>
    <cellWatch r="G56917"/>
    <cellWatch r="G56918"/>
    <cellWatch r="G56919"/>
    <cellWatch r="G56920"/>
    <cellWatch r="G56921"/>
    <cellWatch r="G56922"/>
    <cellWatch r="G56923"/>
    <cellWatch r="G56924"/>
    <cellWatch r="G56925"/>
    <cellWatch r="G56926"/>
    <cellWatch r="G56927"/>
    <cellWatch r="G56928"/>
    <cellWatch r="G56929"/>
    <cellWatch r="G56930"/>
    <cellWatch r="G56931"/>
    <cellWatch r="G56932"/>
    <cellWatch r="G56933"/>
    <cellWatch r="G56934"/>
    <cellWatch r="G56935"/>
    <cellWatch r="G56936"/>
    <cellWatch r="G56937"/>
    <cellWatch r="G56938"/>
    <cellWatch r="G56939"/>
    <cellWatch r="G56940"/>
    <cellWatch r="G56941"/>
    <cellWatch r="G56942"/>
    <cellWatch r="G56943"/>
    <cellWatch r="G56944"/>
    <cellWatch r="G56945"/>
    <cellWatch r="G56946"/>
    <cellWatch r="G56947"/>
    <cellWatch r="G56948"/>
    <cellWatch r="G56949"/>
    <cellWatch r="G56950"/>
    <cellWatch r="G56951"/>
    <cellWatch r="G56952"/>
    <cellWatch r="G56953"/>
    <cellWatch r="G56954"/>
    <cellWatch r="G56955"/>
    <cellWatch r="G56956"/>
    <cellWatch r="G56957"/>
    <cellWatch r="G56958"/>
    <cellWatch r="G56959"/>
    <cellWatch r="G56960"/>
    <cellWatch r="G56961"/>
    <cellWatch r="G56962"/>
    <cellWatch r="G56963"/>
    <cellWatch r="G56964"/>
    <cellWatch r="G56965"/>
    <cellWatch r="G56966"/>
    <cellWatch r="G56967"/>
    <cellWatch r="G56968"/>
    <cellWatch r="G56969"/>
    <cellWatch r="G56970"/>
    <cellWatch r="G56971"/>
    <cellWatch r="G56972"/>
    <cellWatch r="G56973"/>
    <cellWatch r="G56974"/>
    <cellWatch r="G56975"/>
    <cellWatch r="G56976"/>
    <cellWatch r="G56977"/>
    <cellWatch r="G56978"/>
    <cellWatch r="G56979"/>
    <cellWatch r="G56980"/>
    <cellWatch r="G56981"/>
    <cellWatch r="G56982"/>
    <cellWatch r="G56983"/>
    <cellWatch r="G56984"/>
    <cellWatch r="G56985"/>
    <cellWatch r="G56986"/>
    <cellWatch r="G56987"/>
    <cellWatch r="G56988"/>
    <cellWatch r="G56989"/>
    <cellWatch r="G56990"/>
    <cellWatch r="G56991"/>
    <cellWatch r="G56992"/>
    <cellWatch r="G56993"/>
    <cellWatch r="G56994"/>
    <cellWatch r="G56995"/>
    <cellWatch r="G56996"/>
    <cellWatch r="G56997"/>
    <cellWatch r="G56998"/>
    <cellWatch r="G56999"/>
    <cellWatch r="G57000"/>
    <cellWatch r="G57001"/>
    <cellWatch r="G57002"/>
    <cellWatch r="G57003"/>
    <cellWatch r="G57004"/>
    <cellWatch r="G57005"/>
    <cellWatch r="G57006"/>
    <cellWatch r="G57007"/>
    <cellWatch r="G57008"/>
    <cellWatch r="G57009"/>
    <cellWatch r="G57010"/>
    <cellWatch r="G57011"/>
    <cellWatch r="G57012"/>
    <cellWatch r="G57013"/>
    <cellWatch r="G57014"/>
    <cellWatch r="G57015"/>
    <cellWatch r="G57016"/>
    <cellWatch r="G57017"/>
    <cellWatch r="G57018"/>
    <cellWatch r="G57019"/>
    <cellWatch r="G57020"/>
    <cellWatch r="G57021"/>
    <cellWatch r="G57022"/>
    <cellWatch r="G57023"/>
    <cellWatch r="G57024"/>
    <cellWatch r="G57025"/>
    <cellWatch r="G57026"/>
    <cellWatch r="G57027"/>
    <cellWatch r="G57028"/>
    <cellWatch r="G57029"/>
    <cellWatch r="G57030"/>
    <cellWatch r="G57031"/>
    <cellWatch r="G57032"/>
    <cellWatch r="G57033"/>
    <cellWatch r="G57034"/>
    <cellWatch r="G57035"/>
    <cellWatch r="G57036"/>
    <cellWatch r="G57037"/>
    <cellWatch r="G57038"/>
    <cellWatch r="G57039"/>
    <cellWatch r="G57040"/>
    <cellWatch r="G57041"/>
    <cellWatch r="G57042"/>
    <cellWatch r="G57043"/>
    <cellWatch r="G57044"/>
    <cellWatch r="G57045"/>
    <cellWatch r="G57046"/>
    <cellWatch r="G57047"/>
    <cellWatch r="G57048"/>
    <cellWatch r="G57049"/>
    <cellWatch r="G57050"/>
    <cellWatch r="G57051"/>
    <cellWatch r="G57052"/>
    <cellWatch r="G57053"/>
    <cellWatch r="G57054"/>
    <cellWatch r="G57055"/>
    <cellWatch r="G57056"/>
    <cellWatch r="G57057"/>
    <cellWatch r="G57058"/>
    <cellWatch r="G57059"/>
    <cellWatch r="G57060"/>
    <cellWatch r="G57061"/>
    <cellWatch r="G57062"/>
    <cellWatch r="G57063"/>
    <cellWatch r="G57064"/>
    <cellWatch r="G57065"/>
    <cellWatch r="G57066"/>
    <cellWatch r="G57067"/>
    <cellWatch r="G57068"/>
    <cellWatch r="G57069"/>
    <cellWatch r="G57070"/>
    <cellWatch r="G57071"/>
    <cellWatch r="G57072"/>
    <cellWatch r="G57073"/>
    <cellWatch r="G57074"/>
    <cellWatch r="G57075"/>
    <cellWatch r="G57076"/>
    <cellWatch r="G57077"/>
    <cellWatch r="G57078"/>
    <cellWatch r="G57079"/>
    <cellWatch r="G57080"/>
    <cellWatch r="G57081"/>
    <cellWatch r="G57082"/>
    <cellWatch r="G57083"/>
    <cellWatch r="G57084"/>
    <cellWatch r="G57085"/>
    <cellWatch r="G57086"/>
    <cellWatch r="G57087"/>
    <cellWatch r="G57088"/>
    <cellWatch r="G57089"/>
    <cellWatch r="G57090"/>
    <cellWatch r="G57091"/>
    <cellWatch r="G57092"/>
    <cellWatch r="G57093"/>
    <cellWatch r="G57094"/>
    <cellWatch r="G57095"/>
    <cellWatch r="G57096"/>
    <cellWatch r="G57097"/>
    <cellWatch r="G57098"/>
    <cellWatch r="G57099"/>
    <cellWatch r="G57100"/>
    <cellWatch r="G57101"/>
    <cellWatch r="G57102"/>
    <cellWatch r="G57103"/>
    <cellWatch r="G57104"/>
    <cellWatch r="G57105"/>
    <cellWatch r="G57106"/>
    <cellWatch r="G57107"/>
    <cellWatch r="G57108"/>
    <cellWatch r="G57109"/>
    <cellWatch r="G57110"/>
    <cellWatch r="G57111"/>
    <cellWatch r="G57112"/>
    <cellWatch r="G57113"/>
    <cellWatch r="G57114"/>
    <cellWatch r="G57115"/>
    <cellWatch r="G57116"/>
    <cellWatch r="G57117"/>
    <cellWatch r="G57118"/>
    <cellWatch r="G57119"/>
    <cellWatch r="G57120"/>
    <cellWatch r="G57121"/>
    <cellWatch r="G57122"/>
    <cellWatch r="G57123"/>
    <cellWatch r="G57124"/>
    <cellWatch r="G57125"/>
    <cellWatch r="G57126"/>
    <cellWatch r="G57127"/>
    <cellWatch r="G57128"/>
    <cellWatch r="G57129"/>
    <cellWatch r="G57130"/>
    <cellWatch r="G57131"/>
    <cellWatch r="G57132"/>
    <cellWatch r="G57133"/>
    <cellWatch r="G57134"/>
    <cellWatch r="G57135"/>
    <cellWatch r="G57136"/>
    <cellWatch r="G57137"/>
    <cellWatch r="G57138"/>
    <cellWatch r="G57139"/>
    <cellWatch r="G57140"/>
    <cellWatch r="G57141"/>
    <cellWatch r="G57142"/>
    <cellWatch r="G57143"/>
    <cellWatch r="G57144"/>
    <cellWatch r="G57145"/>
    <cellWatch r="G57146"/>
    <cellWatch r="G57147"/>
    <cellWatch r="G57148"/>
    <cellWatch r="G57149"/>
    <cellWatch r="G57150"/>
    <cellWatch r="G57151"/>
    <cellWatch r="G57152"/>
    <cellWatch r="G57153"/>
    <cellWatch r="G57154"/>
    <cellWatch r="G57155"/>
    <cellWatch r="G57156"/>
    <cellWatch r="G57157"/>
    <cellWatch r="G57158"/>
    <cellWatch r="G57159"/>
    <cellWatch r="G57160"/>
    <cellWatch r="G57161"/>
    <cellWatch r="G57162"/>
    <cellWatch r="G57163"/>
    <cellWatch r="G57164"/>
    <cellWatch r="G57165"/>
    <cellWatch r="G57166"/>
    <cellWatch r="G57167"/>
    <cellWatch r="G57168"/>
    <cellWatch r="G57169"/>
    <cellWatch r="G57170"/>
    <cellWatch r="G57171"/>
    <cellWatch r="G57172"/>
    <cellWatch r="G57173"/>
    <cellWatch r="G57174"/>
    <cellWatch r="G57175"/>
    <cellWatch r="G57176"/>
    <cellWatch r="G57177"/>
    <cellWatch r="G57178"/>
    <cellWatch r="G57179"/>
    <cellWatch r="G57180"/>
    <cellWatch r="G57181"/>
    <cellWatch r="G57182"/>
    <cellWatch r="G57183"/>
    <cellWatch r="G57184"/>
    <cellWatch r="G57185"/>
    <cellWatch r="G57186"/>
    <cellWatch r="G57187"/>
    <cellWatch r="G57188"/>
    <cellWatch r="G57189"/>
    <cellWatch r="G57190"/>
    <cellWatch r="G57191"/>
    <cellWatch r="G57192"/>
    <cellWatch r="G57193"/>
    <cellWatch r="G57194"/>
    <cellWatch r="G57195"/>
    <cellWatch r="G57196"/>
    <cellWatch r="G57197"/>
    <cellWatch r="G57198"/>
    <cellWatch r="G57199"/>
    <cellWatch r="G57200"/>
    <cellWatch r="G57201"/>
    <cellWatch r="G57202"/>
    <cellWatch r="G57203"/>
    <cellWatch r="G57204"/>
    <cellWatch r="G57205"/>
    <cellWatch r="G57206"/>
    <cellWatch r="G57207"/>
    <cellWatch r="G57208"/>
    <cellWatch r="G57209"/>
    <cellWatch r="G57210"/>
    <cellWatch r="G57211"/>
    <cellWatch r="G57212"/>
    <cellWatch r="G57213"/>
    <cellWatch r="G57214"/>
    <cellWatch r="G57215"/>
    <cellWatch r="G57216"/>
    <cellWatch r="G57217"/>
    <cellWatch r="G57218"/>
    <cellWatch r="G57219"/>
    <cellWatch r="G57220"/>
    <cellWatch r="G57221"/>
    <cellWatch r="G57222"/>
    <cellWatch r="G57223"/>
    <cellWatch r="G57224"/>
    <cellWatch r="G57225"/>
    <cellWatch r="G57226"/>
    <cellWatch r="G57227"/>
    <cellWatch r="G57228"/>
    <cellWatch r="G57229"/>
    <cellWatch r="G57230"/>
    <cellWatch r="G57231"/>
    <cellWatch r="G57232"/>
    <cellWatch r="G57233"/>
    <cellWatch r="G57234"/>
    <cellWatch r="G57235"/>
    <cellWatch r="G57236"/>
    <cellWatch r="G57237"/>
    <cellWatch r="G57238"/>
    <cellWatch r="G57239"/>
    <cellWatch r="G57240"/>
    <cellWatch r="G57241"/>
    <cellWatch r="G57242"/>
    <cellWatch r="G57243"/>
    <cellWatch r="G57244"/>
    <cellWatch r="G57245"/>
    <cellWatch r="G57246"/>
    <cellWatch r="G57247"/>
    <cellWatch r="G57248"/>
    <cellWatch r="G57249"/>
    <cellWatch r="G57250"/>
    <cellWatch r="G57251"/>
    <cellWatch r="G57252"/>
    <cellWatch r="G57253"/>
    <cellWatch r="G57254"/>
    <cellWatch r="G57255"/>
    <cellWatch r="G57256"/>
    <cellWatch r="G57257"/>
    <cellWatch r="G57258"/>
    <cellWatch r="G57259"/>
    <cellWatch r="G57260"/>
    <cellWatch r="G57261"/>
    <cellWatch r="G57262"/>
    <cellWatch r="G57263"/>
    <cellWatch r="G57264"/>
    <cellWatch r="G57265"/>
    <cellWatch r="G57266"/>
    <cellWatch r="G57267"/>
    <cellWatch r="G57268"/>
    <cellWatch r="G57269"/>
    <cellWatch r="G57270"/>
    <cellWatch r="G57271"/>
    <cellWatch r="G57272"/>
    <cellWatch r="G57273"/>
    <cellWatch r="G57274"/>
    <cellWatch r="G57275"/>
    <cellWatch r="G57276"/>
    <cellWatch r="G57277"/>
    <cellWatch r="G57278"/>
    <cellWatch r="G57279"/>
    <cellWatch r="G57280"/>
    <cellWatch r="G57281"/>
    <cellWatch r="G57282"/>
    <cellWatch r="G57283"/>
    <cellWatch r="G57284"/>
    <cellWatch r="G57285"/>
    <cellWatch r="G57286"/>
    <cellWatch r="G57287"/>
    <cellWatch r="G57288"/>
    <cellWatch r="G57289"/>
    <cellWatch r="G57290"/>
    <cellWatch r="G57291"/>
    <cellWatch r="G57292"/>
    <cellWatch r="G57293"/>
    <cellWatch r="G57294"/>
    <cellWatch r="G57295"/>
    <cellWatch r="G57296"/>
    <cellWatch r="G57297"/>
    <cellWatch r="G57298"/>
    <cellWatch r="G57299"/>
    <cellWatch r="G57300"/>
    <cellWatch r="G57301"/>
    <cellWatch r="G57302"/>
    <cellWatch r="G57303"/>
    <cellWatch r="G57304"/>
    <cellWatch r="G57305"/>
    <cellWatch r="G57306"/>
    <cellWatch r="G57307"/>
    <cellWatch r="G57308"/>
    <cellWatch r="G57309"/>
    <cellWatch r="G57310"/>
    <cellWatch r="G57311"/>
    <cellWatch r="G57312"/>
    <cellWatch r="G57313"/>
    <cellWatch r="G57314"/>
    <cellWatch r="G57315"/>
    <cellWatch r="G57316"/>
    <cellWatch r="G57317"/>
    <cellWatch r="G57318"/>
    <cellWatch r="G57319"/>
    <cellWatch r="G57320"/>
    <cellWatch r="G57321"/>
    <cellWatch r="G57322"/>
    <cellWatch r="G57323"/>
    <cellWatch r="G57324"/>
    <cellWatch r="G57325"/>
    <cellWatch r="G57326"/>
    <cellWatch r="G57327"/>
    <cellWatch r="G57328"/>
    <cellWatch r="G57329"/>
    <cellWatch r="G57330"/>
    <cellWatch r="G57331"/>
    <cellWatch r="G57332"/>
    <cellWatch r="G57333"/>
    <cellWatch r="G57334"/>
    <cellWatch r="G57335"/>
    <cellWatch r="G57336"/>
    <cellWatch r="G57337"/>
    <cellWatch r="G57338"/>
    <cellWatch r="G57339"/>
    <cellWatch r="G57340"/>
    <cellWatch r="G57341"/>
    <cellWatch r="G57342"/>
    <cellWatch r="G57343"/>
    <cellWatch r="G57344"/>
    <cellWatch r="G57345"/>
    <cellWatch r="G57346"/>
    <cellWatch r="G57347"/>
    <cellWatch r="G57348"/>
    <cellWatch r="G57349"/>
    <cellWatch r="G57350"/>
    <cellWatch r="G57351"/>
    <cellWatch r="G57352"/>
    <cellWatch r="G57353"/>
    <cellWatch r="G57354"/>
    <cellWatch r="G57355"/>
    <cellWatch r="G57356"/>
    <cellWatch r="G57357"/>
    <cellWatch r="G57358"/>
    <cellWatch r="G57359"/>
    <cellWatch r="G57360"/>
    <cellWatch r="G57361"/>
    <cellWatch r="G57362"/>
    <cellWatch r="G57363"/>
    <cellWatch r="G57364"/>
    <cellWatch r="G57365"/>
    <cellWatch r="G57366"/>
    <cellWatch r="G57367"/>
    <cellWatch r="G57368"/>
    <cellWatch r="G57369"/>
    <cellWatch r="G57370"/>
    <cellWatch r="G57371"/>
    <cellWatch r="G57372"/>
    <cellWatch r="G57373"/>
    <cellWatch r="G57374"/>
    <cellWatch r="G57375"/>
    <cellWatch r="G57376"/>
    <cellWatch r="G57377"/>
    <cellWatch r="G57378"/>
    <cellWatch r="G57379"/>
    <cellWatch r="G57380"/>
    <cellWatch r="G57381"/>
    <cellWatch r="G57382"/>
    <cellWatch r="G57383"/>
    <cellWatch r="G57384"/>
    <cellWatch r="G57385"/>
    <cellWatch r="G57386"/>
    <cellWatch r="G57387"/>
    <cellWatch r="G57388"/>
    <cellWatch r="G57389"/>
    <cellWatch r="G57390"/>
    <cellWatch r="G57391"/>
    <cellWatch r="G57392"/>
    <cellWatch r="G57393"/>
    <cellWatch r="G57394"/>
    <cellWatch r="G57395"/>
    <cellWatch r="G57396"/>
    <cellWatch r="G57397"/>
    <cellWatch r="G57398"/>
    <cellWatch r="G57399"/>
    <cellWatch r="G57400"/>
    <cellWatch r="G57401"/>
    <cellWatch r="G57402"/>
    <cellWatch r="G57403"/>
    <cellWatch r="G57404"/>
    <cellWatch r="G57405"/>
    <cellWatch r="G57406"/>
    <cellWatch r="G57407"/>
    <cellWatch r="G57408"/>
    <cellWatch r="G57409"/>
    <cellWatch r="G57410"/>
    <cellWatch r="G57411"/>
    <cellWatch r="G57412"/>
    <cellWatch r="G57413"/>
    <cellWatch r="G57414"/>
    <cellWatch r="G57415"/>
    <cellWatch r="G57416"/>
    <cellWatch r="G57417"/>
    <cellWatch r="G57418"/>
    <cellWatch r="G57419"/>
    <cellWatch r="G57420"/>
    <cellWatch r="G57421"/>
    <cellWatch r="G57422"/>
    <cellWatch r="G57423"/>
    <cellWatch r="G57424"/>
    <cellWatch r="G57425"/>
    <cellWatch r="G57426"/>
    <cellWatch r="G57427"/>
    <cellWatch r="G57428"/>
    <cellWatch r="G57429"/>
    <cellWatch r="G57430"/>
    <cellWatch r="G57431"/>
    <cellWatch r="G57432"/>
    <cellWatch r="G57433"/>
    <cellWatch r="G57434"/>
    <cellWatch r="G57435"/>
    <cellWatch r="G57436"/>
    <cellWatch r="G57437"/>
    <cellWatch r="G57438"/>
    <cellWatch r="G57439"/>
    <cellWatch r="G57440"/>
    <cellWatch r="G57441"/>
    <cellWatch r="G57442"/>
    <cellWatch r="G57443"/>
    <cellWatch r="G57444"/>
    <cellWatch r="G57445"/>
    <cellWatch r="G57446"/>
    <cellWatch r="G57447"/>
    <cellWatch r="G57448"/>
    <cellWatch r="G57449"/>
    <cellWatch r="G57450"/>
    <cellWatch r="G57451"/>
    <cellWatch r="G57452"/>
    <cellWatch r="G57453"/>
    <cellWatch r="G57454"/>
    <cellWatch r="G57455"/>
    <cellWatch r="G57456"/>
    <cellWatch r="G57457"/>
    <cellWatch r="G57458"/>
    <cellWatch r="G57459"/>
    <cellWatch r="G57460"/>
    <cellWatch r="G57461"/>
    <cellWatch r="G57462"/>
    <cellWatch r="G57463"/>
    <cellWatch r="G57464"/>
    <cellWatch r="G57465"/>
    <cellWatch r="G57466"/>
    <cellWatch r="G57467"/>
    <cellWatch r="G57468"/>
    <cellWatch r="G57469"/>
    <cellWatch r="G57470"/>
    <cellWatch r="G57471"/>
    <cellWatch r="G57472"/>
    <cellWatch r="G57473"/>
    <cellWatch r="G57474"/>
    <cellWatch r="G57475"/>
    <cellWatch r="G57476"/>
    <cellWatch r="G57477"/>
    <cellWatch r="G57478"/>
    <cellWatch r="G57479"/>
    <cellWatch r="G57480"/>
    <cellWatch r="G57481"/>
    <cellWatch r="G57482"/>
    <cellWatch r="G57483"/>
    <cellWatch r="G57484"/>
    <cellWatch r="G57485"/>
    <cellWatch r="G57486"/>
    <cellWatch r="G57487"/>
    <cellWatch r="G57488"/>
    <cellWatch r="G57489"/>
    <cellWatch r="G57490"/>
    <cellWatch r="G57491"/>
    <cellWatch r="G57492"/>
    <cellWatch r="G57493"/>
    <cellWatch r="G57494"/>
    <cellWatch r="G57495"/>
    <cellWatch r="G57496"/>
    <cellWatch r="G57497"/>
    <cellWatch r="G57498"/>
    <cellWatch r="G57499"/>
    <cellWatch r="G57500"/>
    <cellWatch r="G57501"/>
    <cellWatch r="G57502"/>
    <cellWatch r="G57503"/>
    <cellWatch r="G57504"/>
    <cellWatch r="G57505"/>
    <cellWatch r="G57506"/>
    <cellWatch r="G57507"/>
    <cellWatch r="G57508"/>
    <cellWatch r="G57509"/>
    <cellWatch r="G57510"/>
    <cellWatch r="G57511"/>
    <cellWatch r="G57512"/>
    <cellWatch r="G57513"/>
    <cellWatch r="G57514"/>
    <cellWatch r="G57515"/>
    <cellWatch r="G57516"/>
    <cellWatch r="G57517"/>
    <cellWatch r="G57518"/>
    <cellWatch r="G57519"/>
    <cellWatch r="G57520"/>
    <cellWatch r="G57521"/>
    <cellWatch r="G57522"/>
    <cellWatch r="G57523"/>
    <cellWatch r="G57524"/>
    <cellWatch r="G57525"/>
    <cellWatch r="G57526"/>
    <cellWatch r="G57527"/>
    <cellWatch r="G57528"/>
    <cellWatch r="G57529"/>
    <cellWatch r="G57530"/>
    <cellWatch r="G57531"/>
    <cellWatch r="G57532"/>
    <cellWatch r="G57533"/>
    <cellWatch r="G57534"/>
    <cellWatch r="G57535"/>
    <cellWatch r="G57536"/>
    <cellWatch r="G57537"/>
    <cellWatch r="G57538"/>
    <cellWatch r="G57539"/>
    <cellWatch r="G57540"/>
    <cellWatch r="G57541"/>
    <cellWatch r="G57542"/>
    <cellWatch r="G57543"/>
    <cellWatch r="G57544"/>
    <cellWatch r="G57545"/>
    <cellWatch r="G57546"/>
    <cellWatch r="G57547"/>
    <cellWatch r="G57548"/>
    <cellWatch r="G57549"/>
    <cellWatch r="G57550"/>
    <cellWatch r="G57551"/>
    <cellWatch r="G57552"/>
    <cellWatch r="G57553"/>
    <cellWatch r="G57554"/>
    <cellWatch r="G57555"/>
    <cellWatch r="G57556"/>
    <cellWatch r="G57557"/>
    <cellWatch r="G57558"/>
    <cellWatch r="G57559"/>
    <cellWatch r="G57560"/>
    <cellWatch r="G57561"/>
    <cellWatch r="G57562"/>
    <cellWatch r="G57563"/>
    <cellWatch r="G57564"/>
    <cellWatch r="G57565"/>
    <cellWatch r="G57566"/>
    <cellWatch r="G57567"/>
    <cellWatch r="G57568"/>
    <cellWatch r="G57569"/>
    <cellWatch r="G57570"/>
    <cellWatch r="G57571"/>
    <cellWatch r="G57572"/>
    <cellWatch r="G57573"/>
    <cellWatch r="G57574"/>
    <cellWatch r="G57575"/>
    <cellWatch r="G57576"/>
    <cellWatch r="G57577"/>
    <cellWatch r="G57578"/>
    <cellWatch r="G57579"/>
    <cellWatch r="G57580"/>
    <cellWatch r="G57581"/>
    <cellWatch r="G57582"/>
    <cellWatch r="G57583"/>
    <cellWatch r="G57584"/>
    <cellWatch r="G57585"/>
    <cellWatch r="G57586"/>
    <cellWatch r="G57587"/>
    <cellWatch r="G57588"/>
    <cellWatch r="G57589"/>
    <cellWatch r="G57590"/>
    <cellWatch r="G57591"/>
    <cellWatch r="G57592"/>
    <cellWatch r="G57593"/>
    <cellWatch r="G57594"/>
    <cellWatch r="G57595"/>
    <cellWatch r="G57596"/>
    <cellWatch r="G57597"/>
    <cellWatch r="G57598"/>
    <cellWatch r="G57599"/>
    <cellWatch r="G57600"/>
    <cellWatch r="G57601"/>
    <cellWatch r="G57602"/>
    <cellWatch r="G57603"/>
    <cellWatch r="G57604"/>
    <cellWatch r="G57605"/>
    <cellWatch r="G57606"/>
    <cellWatch r="G57607"/>
    <cellWatch r="G57608"/>
    <cellWatch r="G57609"/>
    <cellWatch r="G57610"/>
    <cellWatch r="G57611"/>
    <cellWatch r="G57612"/>
    <cellWatch r="G57613"/>
    <cellWatch r="G57614"/>
    <cellWatch r="G57615"/>
    <cellWatch r="G57616"/>
    <cellWatch r="G57617"/>
    <cellWatch r="G57618"/>
    <cellWatch r="G57619"/>
    <cellWatch r="G57620"/>
    <cellWatch r="G57621"/>
    <cellWatch r="G57622"/>
    <cellWatch r="G57623"/>
    <cellWatch r="G57624"/>
    <cellWatch r="G57625"/>
    <cellWatch r="G57626"/>
    <cellWatch r="G57627"/>
    <cellWatch r="G57628"/>
    <cellWatch r="G57629"/>
    <cellWatch r="G57630"/>
    <cellWatch r="G57631"/>
    <cellWatch r="G57632"/>
    <cellWatch r="G57633"/>
    <cellWatch r="G57634"/>
    <cellWatch r="G57635"/>
    <cellWatch r="G57636"/>
    <cellWatch r="G57637"/>
    <cellWatch r="G57638"/>
    <cellWatch r="G57639"/>
    <cellWatch r="G57640"/>
    <cellWatch r="G57641"/>
    <cellWatch r="G57642"/>
    <cellWatch r="G57643"/>
    <cellWatch r="G57644"/>
    <cellWatch r="G57645"/>
    <cellWatch r="G57646"/>
    <cellWatch r="G57647"/>
    <cellWatch r="G57648"/>
    <cellWatch r="G57649"/>
    <cellWatch r="G57650"/>
    <cellWatch r="G57651"/>
    <cellWatch r="G57652"/>
    <cellWatch r="G57653"/>
    <cellWatch r="G57654"/>
    <cellWatch r="G57655"/>
    <cellWatch r="G57656"/>
    <cellWatch r="G57657"/>
    <cellWatch r="G57658"/>
    <cellWatch r="G57659"/>
    <cellWatch r="G57660"/>
    <cellWatch r="G57661"/>
    <cellWatch r="G57662"/>
    <cellWatch r="G57663"/>
    <cellWatch r="G57664"/>
    <cellWatch r="G57665"/>
    <cellWatch r="G57666"/>
    <cellWatch r="G57667"/>
    <cellWatch r="G57668"/>
    <cellWatch r="G57669"/>
    <cellWatch r="G57670"/>
    <cellWatch r="G57671"/>
    <cellWatch r="G57672"/>
    <cellWatch r="G57673"/>
    <cellWatch r="G57674"/>
    <cellWatch r="G57675"/>
    <cellWatch r="G57676"/>
    <cellWatch r="G57677"/>
    <cellWatch r="G57678"/>
    <cellWatch r="G57679"/>
    <cellWatch r="G57680"/>
    <cellWatch r="G57681"/>
    <cellWatch r="G57682"/>
    <cellWatch r="G57683"/>
    <cellWatch r="G57684"/>
    <cellWatch r="G57685"/>
    <cellWatch r="G57686"/>
    <cellWatch r="G57687"/>
    <cellWatch r="G57688"/>
    <cellWatch r="G57689"/>
    <cellWatch r="G57690"/>
    <cellWatch r="G57691"/>
    <cellWatch r="G57692"/>
    <cellWatch r="G57693"/>
    <cellWatch r="G57694"/>
    <cellWatch r="G57695"/>
    <cellWatch r="G57696"/>
    <cellWatch r="G57697"/>
    <cellWatch r="G57698"/>
    <cellWatch r="G57699"/>
    <cellWatch r="G57700"/>
    <cellWatch r="G57701"/>
    <cellWatch r="G57702"/>
    <cellWatch r="G57703"/>
    <cellWatch r="G57704"/>
    <cellWatch r="G57705"/>
    <cellWatch r="G57706"/>
    <cellWatch r="G57707"/>
    <cellWatch r="G57708"/>
    <cellWatch r="G57709"/>
    <cellWatch r="G57710"/>
    <cellWatch r="G57711"/>
    <cellWatch r="G57712"/>
    <cellWatch r="G57713"/>
    <cellWatch r="G57714"/>
    <cellWatch r="G57715"/>
    <cellWatch r="G57716"/>
    <cellWatch r="G57717"/>
    <cellWatch r="G57718"/>
    <cellWatch r="G57719"/>
    <cellWatch r="G57720"/>
    <cellWatch r="G57721"/>
    <cellWatch r="G57722"/>
    <cellWatch r="G57723"/>
    <cellWatch r="G57724"/>
    <cellWatch r="G57725"/>
    <cellWatch r="G57726"/>
    <cellWatch r="G57727"/>
    <cellWatch r="G57728"/>
    <cellWatch r="G57729"/>
    <cellWatch r="G57730"/>
    <cellWatch r="G57731"/>
    <cellWatch r="G57732"/>
    <cellWatch r="G57733"/>
    <cellWatch r="G57734"/>
    <cellWatch r="G57735"/>
    <cellWatch r="G57736"/>
    <cellWatch r="G57737"/>
    <cellWatch r="G57738"/>
    <cellWatch r="G57739"/>
    <cellWatch r="G57740"/>
    <cellWatch r="G57741"/>
    <cellWatch r="G57742"/>
    <cellWatch r="G57743"/>
    <cellWatch r="G57744"/>
    <cellWatch r="G57745"/>
    <cellWatch r="G57746"/>
    <cellWatch r="G57747"/>
    <cellWatch r="G57748"/>
    <cellWatch r="G57749"/>
    <cellWatch r="G57750"/>
    <cellWatch r="G57751"/>
    <cellWatch r="G57752"/>
    <cellWatch r="G57753"/>
    <cellWatch r="G57754"/>
    <cellWatch r="G57755"/>
    <cellWatch r="G57756"/>
    <cellWatch r="G57757"/>
    <cellWatch r="G57758"/>
    <cellWatch r="G57759"/>
    <cellWatch r="G57760"/>
    <cellWatch r="G57761"/>
    <cellWatch r="G57762"/>
    <cellWatch r="G57763"/>
    <cellWatch r="G57764"/>
    <cellWatch r="G57765"/>
    <cellWatch r="G57766"/>
    <cellWatch r="G57767"/>
    <cellWatch r="G57768"/>
    <cellWatch r="G57769"/>
    <cellWatch r="G57770"/>
    <cellWatch r="G57771"/>
    <cellWatch r="G57772"/>
    <cellWatch r="G57773"/>
    <cellWatch r="G57774"/>
    <cellWatch r="G57775"/>
    <cellWatch r="G57776"/>
    <cellWatch r="G57777"/>
    <cellWatch r="G57778"/>
    <cellWatch r="G57779"/>
    <cellWatch r="G57780"/>
    <cellWatch r="G57781"/>
    <cellWatch r="G57782"/>
    <cellWatch r="G57783"/>
    <cellWatch r="G57784"/>
    <cellWatch r="G57785"/>
    <cellWatch r="G57786"/>
    <cellWatch r="G57787"/>
    <cellWatch r="G57788"/>
    <cellWatch r="G57789"/>
    <cellWatch r="G57790"/>
    <cellWatch r="G57791"/>
    <cellWatch r="G57792"/>
    <cellWatch r="G57793"/>
    <cellWatch r="G57794"/>
    <cellWatch r="G57795"/>
    <cellWatch r="G57796"/>
    <cellWatch r="G57797"/>
    <cellWatch r="G57798"/>
    <cellWatch r="G57799"/>
    <cellWatch r="G57800"/>
    <cellWatch r="G57801"/>
    <cellWatch r="G57802"/>
    <cellWatch r="G57803"/>
    <cellWatch r="G57804"/>
    <cellWatch r="G57805"/>
    <cellWatch r="G57806"/>
    <cellWatch r="G57807"/>
    <cellWatch r="G57808"/>
    <cellWatch r="G57809"/>
    <cellWatch r="G57810"/>
    <cellWatch r="G57811"/>
    <cellWatch r="G57812"/>
    <cellWatch r="G57813"/>
    <cellWatch r="G57814"/>
    <cellWatch r="G57815"/>
    <cellWatch r="G57816"/>
    <cellWatch r="G57817"/>
    <cellWatch r="G57818"/>
    <cellWatch r="G57819"/>
    <cellWatch r="G57820"/>
    <cellWatch r="G57821"/>
    <cellWatch r="G57822"/>
    <cellWatch r="G57823"/>
    <cellWatch r="G57824"/>
    <cellWatch r="G57825"/>
    <cellWatch r="G57826"/>
    <cellWatch r="G57827"/>
    <cellWatch r="G57828"/>
    <cellWatch r="G57829"/>
    <cellWatch r="G57830"/>
    <cellWatch r="G57831"/>
    <cellWatch r="G57832"/>
    <cellWatch r="G57833"/>
    <cellWatch r="G57834"/>
    <cellWatch r="G57835"/>
    <cellWatch r="G57836"/>
    <cellWatch r="G57837"/>
    <cellWatch r="G57838"/>
    <cellWatch r="G57839"/>
    <cellWatch r="G57840"/>
    <cellWatch r="G57841"/>
    <cellWatch r="G57842"/>
    <cellWatch r="G57843"/>
    <cellWatch r="G57844"/>
    <cellWatch r="G57845"/>
    <cellWatch r="G57846"/>
    <cellWatch r="G57847"/>
    <cellWatch r="G57848"/>
    <cellWatch r="G57849"/>
    <cellWatch r="G57850"/>
    <cellWatch r="G57851"/>
    <cellWatch r="G57852"/>
    <cellWatch r="G57853"/>
    <cellWatch r="G57854"/>
    <cellWatch r="G57855"/>
    <cellWatch r="G57856"/>
    <cellWatch r="G57857"/>
    <cellWatch r="G57858"/>
    <cellWatch r="G57859"/>
    <cellWatch r="G57860"/>
    <cellWatch r="G57861"/>
    <cellWatch r="G57862"/>
    <cellWatch r="G57863"/>
    <cellWatch r="G57864"/>
    <cellWatch r="G57865"/>
    <cellWatch r="G57866"/>
    <cellWatch r="G57867"/>
    <cellWatch r="G57868"/>
    <cellWatch r="G57869"/>
    <cellWatch r="G57870"/>
    <cellWatch r="G57871"/>
    <cellWatch r="G57872"/>
    <cellWatch r="G57873"/>
    <cellWatch r="G57874"/>
    <cellWatch r="G57875"/>
    <cellWatch r="G57876"/>
    <cellWatch r="G57877"/>
    <cellWatch r="G57878"/>
    <cellWatch r="G57879"/>
    <cellWatch r="G57880"/>
    <cellWatch r="G57881"/>
    <cellWatch r="G57882"/>
    <cellWatch r="G57883"/>
    <cellWatch r="G57884"/>
    <cellWatch r="G57885"/>
    <cellWatch r="G57886"/>
    <cellWatch r="G57887"/>
    <cellWatch r="G57888"/>
    <cellWatch r="G57889"/>
    <cellWatch r="G57890"/>
    <cellWatch r="G57891"/>
    <cellWatch r="G57892"/>
    <cellWatch r="G57893"/>
    <cellWatch r="G57894"/>
    <cellWatch r="G57895"/>
    <cellWatch r="G57896"/>
    <cellWatch r="G57897"/>
    <cellWatch r="G57898"/>
    <cellWatch r="G57899"/>
    <cellWatch r="G57900"/>
    <cellWatch r="G57901"/>
    <cellWatch r="G57902"/>
    <cellWatch r="G57903"/>
    <cellWatch r="G57904"/>
    <cellWatch r="G57905"/>
    <cellWatch r="G57906"/>
    <cellWatch r="G57907"/>
    <cellWatch r="G57908"/>
    <cellWatch r="G57909"/>
    <cellWatch r="G57910"/>
    <cellWatch r="G57911"/>
    <cellWatch r="G57912"/>
    <cellWatch r="G57913"/>
    <cellWatch r="G57914"/>
    <cellWatch r="G57915"/>
    <cellWatch r="G57916"/>
    <cellWatch r="G57917"/>
    <cellWatch r="G57918"/>
    <cellWatch r="G57919"/>
    <cellWatch r="G57920"/>
    <cellWatch r="G57921"/>
    <cellWatch r="G57922"/>
    <cellWatch r="G57923"/>
    <cellWatch r="G57924"/>
    <cellWatch r="G57925"/>
    <cellWatch r="G57926"/>
    <cellWatch r="G57927"/>
    <cellWatch r="G57928"/>
    <cellWatch r="G57929"/>
    <cellWatch r="G57930"/>
    <cellWatch r="G57931"/>
    <cellWatch r="G57932"/>
    <cellWatch r="G57933"/>
    <cellWatch r="G57934"/>
    <cellWatch r="G57935"/>
    <cellWatch r="G57936"/>
    <cellWatch r="G57937"/>
    <cellWatch r="G57938"/>
    <cellWatch r="G57939"/>
    <cellWatch r="G57940"/>
    <cellWatch r="G57941"/>
    <cellWatch r="G57942"/>
    <cellWatch r="G57943"/>
    <cellWatch r="G57944"/>
    <cellWatch r="G57945"/>
    <cellWatch r="G57946"/>
    <cellWatch r="G57947"/>
    <cellWatch r="G57948"/>
    <cellWatch r="G57949"/>
    <cellWatch r="G57950"/>
    <cellWatch r="G57951"/>
    <cellWatch r="G57952"/>
    <cellWatch r="G57953"/>
    <cellWatch r="G57954"/>
    <cellWatch r="G57955"/>
    <cellWatch r="G57956"/>
    <cellWatch r="G57957"/>
    <cellWatch r="G57958"/>
    <cellWatch r="G57959"/>
    <cellWatch r="G57960"/>
    <cellWatch r="G57961"/>
    <cellWatch r="G57962"/>
    <cellWatch r="G57963"/>
    <cellWatch r="G57964"/>
    <cellWatch r="G57965"/>
    <cellWatch r="G57966"/>
    <cellWatch r="G57967"/>
    <cellWatch r="G57968"/>
    <cellWatch r="G57969"/>
    <cellWatch r="G57970"/>
    <cellWatch r="G57971"/>
    <cellWatch r="G57972"/>
    <cellWatch r="G57973"/>
    <cellWatch r="G57974"/>
    <cellWatch r="G57975"/>
    <cellWatch r="G57976"/>
    <cellWatch r="G57977"/>
    <cellWatch r="G57978"/>
    <cellWatch r="G57979"/>
    <cellWatch r="G57980"/>
    <cellWatch r="G57981"/>
    <cellWatch r="G57982"/>
    <cellWatch r="G57983"/>
    <cellWatch r="G57984"/>
    <cellWatch r="G57985"/>
    <cellWatch r="G57986"/>
    <cellWatch r="G57987"/>
    <cellWatch r="G57988"/>
    <cellWatch r="G57989"/>
    <cellWatch r="G57990"/>
    <cellWatch r="G57991"/>
    <cellWatch r="G57992"/>
    <cellWatch r="G57993"/>
    <cellWatch r="G57994"/>
    <cellWatch r="G57995"/>
    <cellWatch r="G57996"/>
    <cellWatch r="G57997"/>
    <cellWatch r="G57998"/>
    <cellWatch r="G57999"/>
    <cellWatch r="G58000"/>
    <cellWatch r="G58001"/>
    <cellWatch r="G58002"/>
    <cellWatch r="G58003"/>
    <cellWatch r="G58004"/>
    <cellWatch r="G58005"/>
    <cellWatch r="G58006"/>
    <cellWatch r="G58007"/>
    <cellWatch r="G58008"/>
    <cellWatch r="G58009"/>
    <cellWatch r="G58010"/>
    <cellWatch r="G58011"/>
    <cellWatch r="G58012"/>
    <cellWatch r="G58013"/>
    <cellWatch r="G58014"/>
    <cellWatch r="G58015"/>
    <cellWatch r="G58016"/>
    <cellWatch r="G58017"/>
    <cellWatch r="G58018"/>
    <cellWatch r="G58019"/>
    <cellWatch r="G58020"/>
    <cellWatch r="G58021"/>
    <cellWatch r="G58022"/>
    <cellWatch r="G58023"/>
    <cellWatch r="G58024"/>
    <cellWatch r="G58025"/>
    <cellWatch r="G58026"/>
    <cellWatch r="G58027"/>
    <cellWatch r="G58028"/>
    <cellWatch r="G58029"/>
    <cellWatch r="G58030"/>
    <cellWatch r="G58031"/>
    <cellWatch r="G58032"/>
    <cellWatch r="G58033"/>
    <cellWatch r="G58034"/>
    <cellWatch r="G58035"/>
    <cellWatch r="G58036"/>
    <cellWatch r="G58037"/>
    <cellWatch r="G58038"/>
    <cellWatch r="G58039"/>
    <cellWatch r="G58040"/>
    <cellWatch r="G58041"/>
    <cellWatch r="G58042"/>
    <cellWatch r="G58043"/>
    <cellWatch r="G58044"/>
    <cellWatch r="G58045"/>
    <cellWatch r="G58046"/>
    <cellWatch r="G58047"/>
    <cellWatch r="G58048"/>
    <cellWatch r="G58049"/>
    <cellWatch r="G58050"/>
    <cellWatch r="G58051"/>
    <cellWatch r="G58052"/>
    <cellWatch r="G58053"/>
    <cellWatch r="G58054"/>
    <cellWatch r="G58055"/>
    <cellWatch r="G58056"/>
    <cellWatch r="G58057"/>
    <cellWatch r="G58058"/>
    <cellWatch r="G58059"/>
    <cellWatch r="G58060"/>
    <cellWatch r="G58061"/>
    <cellWatch r="G58062"/>
    <cellWatch r="G58063"/>
    <cellWatch r="G58064"/>
    <cellWatch r="G58065"/>
    <cellWatch r="G58066"/>
    <cellWatch r="G58067"/>
    <cellWatch r="G58068"/>
    <cellWatch r="G58069"/>
    <cellWatch r="G58070"/>
    <cellWatch r="G58071"/>
    <cellWatch r="G58072"/>
    <cellWatch r="G58073"/>
    <cellWatch r="G58074"/>
    <cellWatch r="G58075"/>
    <cellWatch r="G58076"/>
    <cellWatch r="G58077"/>
    <cellWatch r="G58078"/>
    <cellWatch r="G58079"/>
    <cellWatch r="G58080"/>
    <cellWatch r="G58081"/>
    <cellWatch r="G58082"/>
    <cellWatch r="G58083"/>
    <cellWatch r="G58084"/>
    <cellWatch r="G58085"/>
    <cellWatch r="G58086"/>
    <cellWatch r="G58087"/>
    <cellWatch r="G58088"/>
    <cellWatch r="G58089"/>
    <cellWatch r="G58090"/>
    <cellWatch r="G58091"/>
    <cellWatch r="G58092"/>
    <cellWatch r="G58093"/>
    <cellWatch r="G58094"/>
    <cellWatch r="G58095"/>
    <cellWatch r="G58096"/>
    <cellWatch r="G58097"/>
    <cellWatch r="G58098"/>
    <cellWatch r="G58099"/>
    <cellWatch r="G58100"/>
    <cellWatch r="G58101"/>
    <cellWatch r="G58102"/>
    <cellWatch r="G58103"/>
    <cellWatch r="G58104"/>
    <cellWatch r="G58105"/>
    <cellWatch r="G58106"/>
    <cellWatch r="G58107"/>
    <cellWatch r="G58108"/>
    <cellWatch r="G58109"/>
    <cellWatch r="G58110"/>
    <cellWatch r="G58111"/>
    <cellWatch r="G58112"/>
    <cellWatch r="G58113"/>
    <cellWatch r="G58114"/>
    <cellWatch r="G58115"/>
    <cellWatch r="G58116"/>
    <cellWatch r="G58117"/>
    <cellWatch r="G58118"/>
    <cellWatch r="G58119"/>
    <cellWatch r="G58120"/>
    <cellWatch r="G58121"/>
    <cellWatch r="G58122"/>
    <cellWatch r="G58123"/>
    <cellWatch r="G58124"/>
    <cellWatch r="G58125"/>
    <cellWatch r="G58126"/>
    <cellWatch r="G58127"/>
    <cellWatch r="G58128"/>
    <cellWatch r="G58129"/>
    <cellWatch r="G58130"/>
    <cellWatch r="G58131"/>
    <cellWatch r="G58132"/>
    <cellWatch r="G58133"/>
    <cellWatch r="G58134"/>
    <cellWatch r="G58135"/>
    <cellWatch r="G58136"/>
    <cellWatch r="G58137"/>
    <cellWatch r="G58138"/>
    <cellWatch r="G58139"/>
    <cellWatch r="G58140"/>
    <cellWatch r="G58141"/>
    <cellWatch r="G58142"/>
    <cellWatch r="G58143"/>
    <cellWatch r="G58144"/>
    <cellWatch r="G58145"/>
    <cellWatch r="G58146"/>
    <cellWatch r="G58147"/>
    <cellWatch r="G58148"/>
    <cellWatch r="G58149"/>
    <cellWatch r="G58150"/>
    <cellWatch r="G58151"/>
    <cellWatch r="G58152"/>
    <cellWatch r="G58153"/>
    <cellWatch r="G58154"/>
    <cellWatch r="G58155"/>
    <cellWatch r="G58156"/>
    <cellWatch r="G58157"/>
    <cellWatch r="G58158"/>
    <cellWatch r="G58159"/>
    <cellWatch r="G58160"/>
    <cellWatch r="G58161"/>
    <cellWatch r="G58162"/>
    <cellWatch r="G58163"/>
    <cellWatch r="G58164"/>
    <cellWatch r="G58165"/>
    <cellWatch r="G58166"/>
    <cellWatch r="G58167"/>
    <cellWatch r="G58168"/>
    <cellWatch r="G58169"/>
    <cellWatch r="G58170"/>
    <cellWatch r="G58171"/>
    <cellWatch r="G58172"/>
    <cellWatch r="G58173"/>
    <cellWatch r="G58174"/>
    <cellWatch r="G58175"/>
    <cellWatch r="G58176"/>
    <cellWatch r="G58177"/>
    <cellWatch r="G58178"/>
    <cellWatch r="G58179"/>
    <cellWatch r="G58180"/>
    <cellWatch r="G58181"/>
    <cellWatch r="G58182"/>
    <cellWatch r="G58183"/>
    <cellWatch r="G58184"/>
    <cellWatch r="G58185"/>
    <cellWatch r="G58186"/>
    <cellWatch r="G58187"/>
    <cellWatch r="G58188"/>
    <cellWatch r="G58189"/>
    <cellWatch r="G58190"/>
    <cellWatch r="G58191"/>
    <cellWatch r="G58192"/>
    <cellWatch r="G58193"/>
    <cellWatch r="G58194"/>
    <cellWatch r="G58195"/>
    <cellWatch r="G58196"/>
    <cellWatch r="G58197"/>
    <cellWatch r="G58198"/>
    <cellWatch r="G58199"/>
    <cellWatch r="G58200"/>
    <cellWatch r="G58201"/>
    <cellWatch r="G58202"/>
    <cellWatch r="G58203"/>
    <cellWatch r="G58204"/>
    <cellWatch r="G58205"/>
    <cellWatch r="G58206"/>
    <cellWatch r="G58207"/>
    <cellWatch r="G58208"/>
    <cellWatch r="G58209"/>
    <cellWatch r="G58210"/>
    <cellWatch r="G58211"/>
    <cellWatch r="G58212"/>
    <cellWatch r="G58213"/>
    <cellWatch r="G58214"/>
    <cellWatch r="G58215"/>
    <cellWatch r="G58216"/>
    <cellWatch r="G58217"/>
    <cellWatch r="G58218"/>
    <cellWatch r="G58219"/>
    <cellWatch r="G58220"/>
    <cellWatch r="G58221"/>
    <cellWatch r="G58222"/>
    <cellWatch r="G58223"/>
    <cellWatch r="G58224"/>
    <cellWatch r="G58225"/>
    <cellWatch r="G58226"/>
    <cellWatch r="G58227"/>
    <cellWatch r="G58228"/>
    <cellWatch r="G58229"/>
    <cellWatch r="G58230"/>
    <cellWatch r="G58231"/>
    <cellWatch r="G58232"/>
    <cellWatch r="G58233"/>
    <cellWatch r="G58234"/>
    <cellWatch r="G58235"/>
    <cellWatch r="G58236"/>
    <cellWatch r="G58237"/>
    <cellWatch r="G58238"/>
    <cellWatch r="G58239"/>
    <cellWatch r="G58240"/>
    <cellWatch r="G58241"/>
    <cellWatch r="G58242"/>
    <cellWatch r="G58243"/>
    <cellWatch r="G58244"/>
    <cellWatch r="G58245"/>
    <cellWatch r="G58246"/>
    <cellWatch r="G58247"/>
    <cellWatch r="G58248"/>
    <cellWatch r="G58249"/>
    <cellWatch r="G58250"/>
    <cellWatch r="G58251"/>
    <cellWatch r="G58252"/>
    <cellWatch r="G58253"/>
    <cellWatch r="G58254"/>
    <cellWatch r="G58255"/>
    <cellWatch r="G58256"/>
    <cellWatch r="G58257"/>
    <cellWatch r="G58258"/>
    <cellWatch r="G58259"/>
    <cellWatch r="G58260"/>
    <cellWatch r="G58261"/>
    <cellWatch r="G58262"/>
    <cellWatch r="G58263"/>
    <cellWatch r="G58264"/>
    <cellWatch r="G58265"/>
    <cellWatch r="G58266"/>
    <cellWatch r="G58267"/>
    <cellWatch r="G58268"/>
    <cellWatch r="G58269"/>
    <cellWatch r="G58270"/>
    <cellWatch r="G58271"/>
    <cellWatch r="G58272"/>
    <cellWatch r="G58273"/>
    <cellWatch r="G58274"/>
    <cellWatch r="G58275"/>
    <cellWatch r="G58276"/>
    <cellWatch r="G58277"/>
    <cellWatch r="G58278"/>
    <cellWatch r="G58279"/>
    <cellWatch r="G58280"/>
    <cellWatch r="G58281"/>
    <cellWatch r="G58282"/>
    <cellWatch r="G58283"/>
    <cellWatch r="G58284"/>
    <cellWatch r="G58285"/>
    <cellWatch r="G58286"/>
    <cellWatch r="G58287"/>
    <cellWatch r="G58288"/>
    <cellWatch r="G58289"/>
    <cellWatch r="G58290"/>
    <cellWatch r="G58291"/>
    <cellWatch r="G58292"/>
    <cellWatch r="G58293"/>
    <cellWatch r="G58294"/>
    <cellWatch r="G58295"/>
    <cellWatch r="G58296"/>
    <cellWatch r="G58297"/>
    <cellWatch r="G58298"/>
    <cellWatch r="G58299"/>
    <cellWatch r="G58300"/>
    <cellWatch r="G58301"/>
    <cellWatch r="G58302"/>
    <cellWatch r="G58303"/>
    <cellWatch r="G58304"/>
    <cellWatch r="G58305"/>
    <cellWatch r="G58306"/>
    <cellWatch r="G58307"/>
    <cellWatch r="G58308"/>
    <cellWatch r="G58309"/>
    <cellWatch r="G58310"/>
    <cellWatch r="G58311"/>
    <cellWatch r="G58312"/>
    <cellWatch r="G58313"/>
    <cellWatch r="G58314"/>
    <cellWatch r="G58315"/>
    <cellWatch r="G58316"/>
    <cellWatch r="G58317"/>
    <cellWatch r="G58318"/>
    <cellWatch r="G58319"/>
    <cellWatch r="G58320"/>
    <cellWatch r="G58321"/>
    <cellWatch r="G58322"/>
    <cellWatch r="G58323"/>
    <cellWatch r="G58324"/>
    <cellWatch r="G58325"/>
    <cellWatch r="G58326"/>
    <cellWatch r="G58327"/>
    <cellWatch r="G58328"/>
    <cellWatch r="G58329"/>
    <cellWatch r="G58330"/>
    <cellWatch r="G58331"/>
    <cellWatch r="G58332"/>
    <cellWatch r="G58333"/>
    <cellWatch r="G58334"/>
    <cellWatch r="G58335"/>
    <cellWatch r="G58336"/>
    <cellWatch r="G58337"/>
    <cellWatch r="G58338"/>
    <cellWatch r="G58339"/>
    <cellWatch r="G58340"/>
    <cellWatch r="G58341"/>
    <cellWatch r="G58342"/>
    <cellWatch r="G58343"/>
    <cellWatch r="G58344"/>
    <cellWatch r="G58345"/>
    <cellWatch r="G58346"/>
    <cellWatch r="G58347"/>
    <cellWatch r="G58348"/>
    <cellWatch r="G58349"/>
    <cellWatch r="G58350"/>
    <cellWatch r="G58351"/>
    <cellWatch r="G58352"/>
    <cellWatch r="G58353"/>
    <cellWatch r="G58354"/>
    <cellWatch r="G58355"/>
    <cellWatch r="G58356"/>
    <cellWatch r="G58357"/>
    <cellWatch r="G58358"/>
    <cellWatch r="G58359"/>
    <cellWatch r="G58360"/>
    <cellWatch r="G58361"/>
    <cellWatch r="G58362"/>
    <cellWatch r="G58363"/>
    <cellWatch r="G58364"/>
    <cellWatch r="G58365"/>
    <cellWatch r="G58366"/>
    <cellWatch r="G58367"/>
    <cellWatch r="G58368"/>
    <cellWatch r="G58369"/>
    <cellWatch r="G58370"/>
    <cellWatch r="G58371"/>
    <cellWatch r="G58372"/>
    <cellWatch r="G58373"/>
    <cellWatch r="G58374"/>
    <cellWatch r="G58375"/>
    <cellWatch r="G58376"/>
    <cellWatch r="G58377"/>
    <cellWatch r="G58378"/>
    <cellWatch r="G58379"/>
    <cellWatch r="G58380"/>
    <cellWatch r="G58381"/>
    <cellWatch r="G58382"/>
    <cellWatch r="G58383"/>
    <cellWatch r="G58384"/>
    <cellWatch r="G58385"/>
    <cellWatch r="G58386"/>
    <cellWatch r="G58387"/>
    <cellWatch r="G58388"/>
    <cellWatch r="G58389"/>
    <cellWatch r="G58390"/>
    <cellWatch r="G58391"/>
    <cellWatch r="G58392"/>
    <cellWatch r="G58393"/>
    <cellWatch r="G58394"/>
    <cellWatch r="G58395"/>
    <cellWatch r="G58396"/>
    <cellWatch r="G58397"/>
    <cellWatch r="G58398"/>
    <cellWatch r="G58399"/>
    <cellWatch r="G58400"/>
    <cellWatch r="G58401"/>
    <cellWatch r="G58402"/>
    <cellWatch r="G58403"/>
    <cellWatch r="G58404"/>
    <cellWatch r="G58405"/>
    <cellWatch r="G58406"/>
    <cellWatch r="G58407"/>
    <cellWatch r="G58408"/>
    <cellWatch r="G58409"/>
    <cellWatch r="G58410"/>
    <cellWatch r="G58411"/>
    <cellWatch r="G58412"/>
    <cellWatch r="G58413"/>
    <cellWatch r="G58414"/>
    <cellWatch r="G58415"/>
    <cellWatch r="G58416"/>
    <cellWatch r="G58417"/>
    <cellWatch r="G58418"/>
    <cellWatch r="G58419"/>
    <cellWatch r="G58420"/>
    <cellWatch r="G58421"/>
    <cellWatch r="G58422"/>
    <cellWatch r="G58423"/>
    <cellWatch r="G58424"/>
    <cellWatch r="G58425"/>
    <cellWatch r="G58426"/>
    <cellWatch r="G58427"/>
    <cellWatch r="G58428"/>
    <cellWatch r="G58429"/>
    <cellWatch r="G58430"/>
    <cellWatch r="G58431"/>
    <cellWatch r="G58432"/>
    <cellWatch r="G58433"/>
    <cellWatch r="G58434"/>
    <cellWatch r="G58435"/>
    <cellWatch r="G58436"/>
    <cellWatch r="G58437"/>
    <cellWatch r="G58438"/>
    <cellWatch r="G58439"/>
    <cellWatch r="G58440"/>
    <cellWatch r="G58441"/>
    <cellWatch r="G58442"/>
    <cellWatch r="G58443"/>
    <cellWatch r="G58444"/>
    <cellWatch r="G58445"/>
    <cellWatch r="G58446"/>
    <cellWatch r="G58447"/>
    <cellWatch r="G58448"/>
    <cellWatch r="G58449"/>
    <cellWatch r="G58450"/>
    <cellWatch r="G58451"/>
    <cellWatch r="G58452"/>
    <cellWatch r="G58453"/>
    <cellWatch r="G58454"/>
    <cellWatch r="G58455"/>
    <cellWatch r="G58456"/>
    <cellWatch r="G58457"/>
    <cellWatch r="G58458"/>
    <cellWatch r="G58459"/>
    <cellWatch r="G58460"/>
    <cellWatch r="G58461"/>
    <cellWatch r="G58462"/>
    <cellWatch r="G58463"/>
    <cellWatch r="G58464"/>
    <cellWatch r="G58465"/>
    <cellWatch r="G58466"/>
    <cellWatch r="G58467"/>
    <cellWatch r="G58468"/>
    <cellWatch r="G58469"/>
    <cellWatch r="G58470"/>
    <cellWatch r="G58471"/>
    <cellWatch r="G58472"/>
    <cellWatch r="G58473"/>
    <cellWatch r="G58474"/>
    <cellWatch r="G58475"/>
    <cellWatch r="G58476"/>
    <cellWatch r="G58477"/>
    <cellWatch r="G58478"/>
    <cellWatch r="G58479"/>
    <cellWatch r="G58480"/>
    <cellWatch r="G58481"/>
    <cellWatch r="G58482"/>
    <cellWatch r="G58483"/>
    <cellWatch r="G58484"/>
    <cellWatch r="G58485"/>
    <cellWatch r="G58486"/>
    <cellWatch r="G58487"/>
    <cellWatch r="G58488"/>
    <cellWatch r="G58489"/>
    <cellWatch r="G58490"/>
    <cellWatch r="G58491"/>
    <cellWatch r="G58492"/>
    <cellWatch r="G58493"/>
    <cellWatch r="G58494"/>
    <cellWatch r="G58495"/>
    <cellWatch r="G58496"/>
    <cellWatch r="G58497"/>
    <cellWatch r="G58498"/>
    <cellWatch r="G58499"/>
    <cellWatch r="G58500"/>
    <cellWatch r="G58501"/>
    <cellWatch r="G58502"/>
    <cellWatch r="G58503"/>
    <cellWatch r="G58504"/>
    <cellWatch r="G58505"/>
    <cellWatch r="G58506"/>
    <cellWatch r="G58507"/>
    <cellWatch r="G58508"/>
    <cellWatch r="G58509"/>
    <cellWatch r="G58510"/>
    <cellWatch r="G58511"/>
    <cellWatch r="G58512"/>
    <cellWatch r="G58513"/>
    <cellWatch r="G58514"/>
    <cellWatch r="G58515"/>
    <cellWatch r="G58516"/>
    <cellWatch r="G58517"/>
    <cellWatch r="G58518"/>
    <cellWatch r="G58519"/>
    <cellWatch r="G58520"/>
    <cellWatch r="G58521"/>
    <cellWatch r="G58522"/>
    <cellWatch r="G58523"/>
    <cellWatch r="G58524"/>
    <cellWatch r="G58525"/>
    <cellWatch r="G58526"/>
    <cellWatch r="G58527"/>
    <cellWatch r="G58528"/>
    <cellWatch r="G58529"/>
    <cellWatch r="G58530"/>
    <cellWatch r="G58531"/>
    <cellWatch r="G58532"/>
    <cellWatch r="G58533"/>
    <cellWatch r="G58534"/>
    <cellWatch r="G58535"/>
    <cellWatch r="G58536"/>
    <cellWatch r="G58537"/>
    <cellWatch r="G58538"/>
    <cellWatch r="G58539"/>
    <cellWatch r="G58540"/>
    <cellWatch r="G58541"/>
    <cellWatch r="G58542"/>
    <cellWatch r="G58543"/>
    <cellWatch r="G58544"/>
    <cellWatch r="G58545"/>
    <cellWatch r="G58546"/>
    <cellWatch r="G58547"/>
    <cellWatch r="G58548"/>
    <cellWatch r="G58549"/>
    <cellWatch r="G58550"/>
    <cellWatch r="G58551"/>
    <cellWatch r="G58552"/>
    <cellWatch r="G58553"/>
    <cellWatch r="G58554"/>
    <cellWatch r="G58555"/>
    <cellWatch r="G58556"/>
    <cellWatch r="G58557"/>
    <cellWatch r="G58558"/>
    <cellWatch r="G58559"/>
    <cellWatch r="G58560"/>
    <cellWatch r="G58561"/>
    <cellWatch r="G58562"/>
    <cellWatch r="G58563"/>
    <cellWatch r="G58564"/>
    <cellWatch r="G58565"/>
    <cellWatch r="G58566"/>
    <cellWatch r="G58567"/>
    <cellWatch r="G58568"/>
    <cellWatch r="G58569"/>
    <cellWatch r="G58570"/>
    <cellWatch r="G58571"/>
    <cellWatch r="G58572"/>
    <cellWatch r="G58573"/>
    <cellWatch r="G58574"/>
    <cellWatch r="G58575"/>
    <cellWatch r="G58576"/>
    <cellWatch r="G58577"/>
    <cellWatch r="G58578"/>
    <cellWatch r="G58579"/>
    <cellWatch r="G58580"/>
    <cellWatch r="G58581"/>
    <cellWatch r="G58582"/>
    <cellWatch r="G58583"/>
    <cellWatch r="G58584"/>
    <cellWatch r="G58585"/>
    <cellWatch r="G58586"/>
    <cellWatch r="G58587"/>
    <cellWatch r="G58588"/>
    <cellWatch r="G58589"/>
    <cellWatch r="G58590"/>
    <cellWatch r="G58591"/>
    <cellWatch r="G58592"/>
    <cellWatch r="G58593"/>
    <cellWatch r="G58594"/>
    <cellWatch r="G58595"/>
    <cellWatch r="G58596"/>
    <cellWatch r="G58597"/>
    <cellWatch r="G58598"/>
    <cellWatch r="G58599"/>
    <cellWatch r="G58600"/>
    <cellWatch r="G58601"/>
    <cellWatch r="G58602"/>
    <cellWatch r="G58603"/>
    <cellWatch r="G58604"/>
    <cellWatch r="G58605"/>
    <cellWatch r="G58606"/>
    <cellWatch r="G58607"/>
    <cellWatch r="G58608"/>
    <cellWatch r="G58609"/>
    <cellWatch r="G58610"/>
    <cellWatch r="G58611"/>
    <cellWatch r="G58612"/>
    <cellWatch r="G58613"/>
    <cellWatch r="G58614"/>
    <cellWatch r="G58615"/>
    <cellWatch r="G58616"/>
    <cellWatch r="G58617"/>
    <cellWatch r="G58618"/>
    <cellWatch r="G58619"/>
    <cellWatch r="G58620"/>
    <cellWatch r="G58621"/>
    <cellWatch r="G58622"/>
    <cellWatch r="G58623"/>
    <cellWatch r="G58624"/>
    <cellWatch r="G58625"/>
    <cellWatch r="G58626"/>
    <cellWatch r="G58627"/>
    <cellWatch r="G58628"/>
    <cellWatch r="G58629"/>
    <cellWatch r="G58630"/>
    <cellWatch r="G58631"/>
    <cellWatch r="G58632"/>
    <cellWatch r="G58633"/>
    <cellWatch r="G58634"/>
    <cellWatch r="G58635"/>
    <cellWatch r="G58636"/>
    <cellWatch r="G58637"/>
    <cellWatch r="G58638"/>
    <cellWatch r="G58639"/>
    <cellWatch r="G58640"/>
    <cellWatch r="G58641"/>
    <cellWatch r="G58642"/>
    <cellWatch r="G58643"/>
    <cellWatch r="G58644"/>
    <cellWatch r="G58645"/>
    <cellWatch r="G58646"/>
    <cellWatch r="G58647"/>
    <cellWatch r="G58648"/>
    <cellWatch r="G58649"/>
    <cellWatch r="G58650"/>
    <cellWatch r="G58651"/>
    <cellWatch r="G58652"/>
    <cellWatch r="G58653"/>
    <cellWatch r="G58654"/>
    <cellWatch r="G58655"/>
    <cellWatch r="G58656"/>
    <cellWatch r="G58657"/>
    <cellWatch r="G58658"/>
    <cellWatch r="G58659"/>
    <cellWatch r="G58660"/>
    <cellWatch r="G58661"/>
    <cellWatch r="G58662"/>
    <cellWatch r="G58663"/>
    <cellWatch r="G58664"/>
    <cellWatch r="G58665"/>
    <cellWatch r="G58666"/>
    <cellWatch r="G58667"/>
    <cellWatch r="G58668"/>
    <cellWatch r="G58669"/>
    <cellWatch r="G58670"/>
    <cellWatch r="G58671"/>
    <cellWatch r="G58672"/>
    <cellWatch r="G58673"/>
    <cellWatch r="G58674"/>
    <cellWatch r="G58675"/>
    <cellWatch r="G58676"/>
    <cellWatch r="G58677"/>
    <cellWatch r="G58678"/>
    <cellWatch r="G58679"/>
    <cellWatch r="G58680"/>
    <cellWatch r="G58681"/>
    <cellWatch r="G58682"/>
    <cellWatch r="G58683"/>
    <cellWatch r="G58684"/>
    <cellWatch r="G58685"/>
    <cellWatch r="G58686"/>
    <cellWatch r="G58687"/>
    <cellWatch r="G58688"/>
    <cellWatch r="G58689"/>
    <cellWatch r="G58690"/>
    <cellWatch r="G58691"/>
    <cellWatch r="G58692"/>
    <cellWatch r="G58693"/>
    <cellWatch r="G58694"/>
    <cellWatch r="G58695"/>
    <cellWatch r="G58696"/>
    <cellWatch r="G58697"/>
    <cellWatch r="G58698"/>
    <cellWatch r="G58699"/>
    <cellWatch r="G58700"/>
    <cellWatch r="G58701"/>
    <cellWatch r="G58702"/>
    <cellWatch r="G58703"/>
    <cellWatch r="G58704"/>
    <cellWatch r="G58705"/>
    <cellWatch r="G58706"/>
    <cellWatch r="G58707"/>
    <cellWatch r="G58708"/>
    <cellWatch r="G58709"/>
    <cellWatch r="G58710"/>
    <cellWatch r="G58711"/>
    <cellWatch r="G58712"/>
    <cellWatch r="G58713"/>
    <cellWatch r="G58714"/>
    <cellWatch r="G58715"/>
    <cellWatch r="G58716"/>
    <cellWatch r="G58717"/>
    <cellWatch r="G58718"/>
    <cellWatch r="G58719"/>
    <cellWatch r="G58720"/>
    <cellWatch r="G58721"/>
    <cellWatch r="G58722"/>
    <cellWatch r="G58723"/>
    <cellWatch r="G58724"/>
    <cellWatch r="G58725"/>
    <cellWatch r="G58726"/>
    <cellWatch r="G58727"/>
    <cellWatch r="G58728"/>
    <cellWatch r="G58729"/>
    <cellWatch r="G58730"/>
    <cellWatch r="G58731"/>
    <cellWatch r="G58732"/>
    <cellWatch r="G58733"/>
    <cellWatch r="G58734"/>
    <cellWatch r="G58735"/>
    <cellWatch r="G58736"/>
    <cellWatch r="G58737"/>
    <cellWatch r="G58738"/>
    <cellWatch r="G58739"/>
    <cellWatch r="G58740"/>
    <cellWatch r="G58741"/>
    <cellWatch r="G58742"/>
    <cellWatch r="G58743"/>
    <cellWatch r="G58744"/>
    <cellWatch r="G58745"/>
    <cellWatch r="G58746"/>
    <cellWatch r="G58747"/>
    <cellWatch r="G58748"/>
    <cellWatch r="G58749"/>
    <cellWatch r="G58750"/>
    <cellWatch r="G58751"/>
    <cellWatch r="G58752"/>
    <cellWatch r="G58753"/>
    <cellWatch r="G58754"/>
    <cellWatch r="G58755"/>
    <cellWatch r="G58756"/>
    <cellWatch r="G58757"/>
    <cellWatch r="G58758"/>
    <cellWatch r="G58759"/>
    <cellWatch r="G58760"/>
    <cellWatch r="G58761"/>
    <cellWatch r="G58762"/>
    <cellWatch r="G58763"/>
    <cellWatch r="G58764"/>
    <cellWatch r="G58765"/>
    <cellWatch r="G58766"/>
    <cellWatch r="G58767"/>
    <cellWatch r="G58768"/>
    <cellWatch r="G58769"/>
    <cellWatch r="G58770"/>
    <cellWatch r="G58771"/>
    <cellWatch r="G58772"/>
    <cellWatch r="G58773"/>
    <cellWatch r="G58774"/>
    <cellWatch r="G58775"/>
    <cellWatch r="G58776"/>
    <cellWatch r="G58777"/>
    <cellWatch r="G58778"/>
    <cellWatch r="G58779"/>
    <cellWatch r="G58780"/>
    <cellWatch r="G58781"/>
    <cellWatch r="G58782"/>
    <cellWatch r="G58783"/>
    <cellWatch r="G58784"/>
    <cellWatch r="G58785"/>
    <cellWatch r="G58786"/>
    <cellWatch r="G58787"/>
    <cellWatch r="G58788"/>
    <cellWatch r="G58789"/>
    <cellWatch r="G58790"/>
    <cellWatch r="G58791"/>
    <cellWatch r="G58792"/>
    <cellWatch r="G58793"/>
    <cellWatch r="G58794"/>
    <cellWatch r="G58795"/>
    <cellWatch r="G58796"/>
    <cellWatch r="G58797"/>
    <cellWatch r="G58798"/>
    <cellWatch r="G58799"/>
    <cellWatch r="G58800"/>
    <cellWatch r="G58801"/>
    <cellWatch r="G58802"/>
    <cellWatch r="G58803"/>
    <cellWatch r="G58804"/>
    <cellWatch r="G58805"/>
    <cellWatch r="G58806"/>
    <cellWatch r="G58807"/>
    <cellWatch r="G58808"/>
    <cellWatch r="G58809"/>
    <cellWatch r="G58810"/>
    <cellWatch r="G58811"/>
    <cellWatch r="G58812"/>
    <cellWatch r="G58813"/>
    <cellWatch r="G58814"/>
    <cellWatch r="G58815"/>
    <cellWatch r="G58816"/>
    <cellWatch r="G58817"/>
    <cellWatch r="G58818"/>
    <cellWatch r="G58819"/>
    <cellWatch r="G58820"/>
    <cellWatch r="G58821"/>
    <cellWatch r="G58822"/>
    <cellWatch r="G58823"/>
    <cellWatch r="G58824"/>
    <cellWatch r="G58825"/>
    <cellWatch r="G58826"/>
    <cellWatch r="G58827"/>
    <cellWatch r="G58828"/>
    <cellWatch r="G58829"/>
    <cellWatch r="G58830"/>
    <cellWatch r="G58831"/>
    <cellWatch r="G58832"/>
    <cellWatch r="G58833"/>
    <cellWatch r="G58834"/>
    <cellWatch r="G58835"/>
    <cellWatch r="G58836"/>
    <cellWatch r="G58837"/>
    <cellWatch r="G58838"/>
    <cellWatch r="G58839"/>
    <cellWatch r="G58840"/>
    <cellWatch r="G58841"/>
    <cellWatch r="G58842"/>
    <cellWatch r="G58843"/>
    <cellWatch r="G58844"/>
    <cellWatch r="G58845"/>
    <cellWatch r="G58846"/>
    <cellWatch r="G58847"/>
    <cellWatch r="G58848"/>
    <cellWatch r="G58849"/>
    <cellWatch r="G58850"/>
    <cellWatch r="G58851"/>
    <cellWatch r="G58852"/>
    <cellWatch r="G58853"/>
    <cellWatch r="G58854"/>
    <cellWatch r="G58855"/>
    <cellWatch r="G58856"/>
    <cellWatch r="G58857"/>
    <cellWatch r="G58858"/>
    <cellWatch r="G58859"/>
    <cellWatch r="G58860"/>
    <cellWatch r="G58861"/>
    <cellWatch r="G58862"/>
    <cellWatch r="G58863"/>
    <cellWatch r="G58864"/>
    <cellWatch r="G58865"/>
    <cellWatch r="G58866"/>
    <cellWatch r="G58867"/>
    <cellWatch r="G58868"/>
    <cellWatch r="G58869"/>
    <cellWatch r="G58870"/>
    <cellWatch r="G58871"/>
    <cellWatch r="G58872"/>
    <cellWatch r="G58873"/>
    <cellWatch r="G58874"/>
    <cellWatch r="G58875"/>
    <cellWatch r="G58876"/>
    <cellWatch r="G58877"/>
    <cellWatch r="G58878"/>
    <cellWatch r="G58879"/>
    <cellWatch r="G58880"/>
    <cellWatch r="G58881"/>
    <cellWatch r="G58882"/>
    <cellWatch r="G58883"/>
    <cellWatch r="G58884"/>
    <cellWatch r="G58885"/>
    <cellWatch r="G58886"/>
    <cellWatch r="G58887"/>
    <cellWatch r="G58888"/>
    <cellWatch r="G58889"/>
    <cellWatch r="G58890"/>
    <cellWatch r="G58891"/>
    <cellWatch r="G58892"/>
    <cellWatch r="G58893"/>
    <cellWatch r="G58894"/>
    <cellWatch r="G58895"/>
    <cellWatch r="G58896"/>
    <cellWatch r="G58897"/>
    <cellWatch r="G58898"/>
    <cellWatch r="G58899"/>
    <cellWatch r="G58900"/>
    <cellWatch r="G58901"/>
    <cellWatch r="G58902"/>
    <cellWatch r="G58903"/>
    <cellWatch r="G58904"/>
    <cellWatch r="G58905"/>
    <cellWatch r="G58906"/>
    <cellWatch r="G58907"/>
    <cellWatch r="G58908"/>
    <cellWatch r="G58909"/>
    <cellWatch r="G58910"/>
    <cellWatch r="G58911"/>
    <cellWatch r="G58912"/>
    <cellWatch r="G58913"/>
    <cellWatch r="G58914"/>
    <cellWatch r="G58915"/>
    <cellWatch r="G58916"/>
    <cellWatch r="G58917"/>
    <cellWatch r="G58918"/>
    <cellWatch r="G58919"/>
    <cellWatch r="G58920"/>
    <cellWatch r="G58921"/>
    <cellWatch r="G58922"/>
    <cellWatch r="G58923"/>
    <cellWatch r="G58924"/>
    <cellWatch r="G58925"/>
    <cellWatch r="G58926"/>
    <cellWatch r="G58927"/>
    <cellWatch r="G58928"/>
    <cellWatch r="G58929"/>
    <cellWatch r="G58930"/>
    <cellWatch r="G58931"/>
    <cellWatch r="G58932"/>
    <cellWatch r="G58933"/>
    <cellWatch r="G58934"/>
    <cellWatch r="G58935"/>
    <cellWatch r="G58936"/>
    <cellWatch r="G58937"/>
    <cellWatch r="G58938"/>
    <cellWatch r="G58939"/>
    <cellWatch r="G58940"/>
    <cellWatch r="G58941"/>
    <cellWatch r="G58942"/>
    <cellWatch r="G58943"/>
    <cellWatch r="G58944"/>
    <cellWatch r="G58945"/>
    <cellWatch r="G58946"/>
    <cellWatch r="G58947"/>
    <cellWatch r="G58948"/>
    <cellWatch r="G58949"/>
    <cellWatch r="G58950"/>
    <cellWatch r="G58951"/>
    <cellWatch r="G58952"/>
    <cellWatch r="G58953"/>
    <cellWatch r="G58954"/>
    <cellWatch r="G58955"/>
    <cellWatch r="G58956"/>
    <cellWatch r="G58957"/>
    <cellWatch r="G58958"/>
    <cellWatch r="G58959"/>
    <cellWatch r="G58960"/>
    <cellWatch r="G58961"/>
    <cellWatch r="G58962"/>
    <cellWatch r="G58963"/>
    <cellWatch r="G58964"/>
    <cellWatch r="G58965"/>
    <cellWatch r="G58966"/>
    <cellWatch r="G58967"/>
    <cellWatch r="G58968"/>
    <cellWatch r="G58969"/>
    <cellWatch r="G58970"/>
    <cellWatch r="G58971"/>
    <cellWatch r="G58972"/>
    <cellWatch r="G58973"/>
    <cellWatch r="G58974"/>
    <cellWatch r="G58975"/>
    <cellWatch r="G58976"/>
    <cellWatch r="G58977"/>
    <cellWatch r="G58978"/>
    <cellWatch r="G58979"/>
    <cellWatch r="G58980"/>
    <cellWatch r="G58981"/>
    <cellWatch r="G58982"/>
    <cellWatch r="G58983"/>
    <cellWatch r="G58984"/>
    <cellWatch r="G58985"/>
    <cellWatch r="G58986"/>
    <cellWatch r="G58987"/>
    <cellWatch r="G58988"/>
    <cellWatch r="G58989"/>
    <cellWatch r="G58990"/>
    <cellWatch r="G58991"/>
    <cellWatch r="G58992"/>
    <cellWatch r="G58993"/>
    <cellWatch r="G58994"/>
    <cellWatch r="G58995"/>
    <cellWatch r="G58996"/>
    <cellWatch r="G58997"/>
    <cellWatch r="G58998"/>
    <cellWatch r="G58999"/>
    <cellWatch r="G59000"/>
    <cellWatch r="G59001"/>
    <cellWatch r="G59002"/>
    <cellWatch r="G59003"/>
    <cellWatch r="G59004"/>
    <cellWatch r="G59005"/>
    <cellWatch r="G59006"/>
    <cellWatch r="G59007"/>
    <cellWatch r="G59008"/>
    <cellWatch r="G59009"/>
    <cellWatch r="G59010"/>
    <cellWatch r="G59011"/>
    <cellWatch r="G59012"/>
    <cellWatch r="G59013"/>
    <cellWatch r="G59014"/>
    <cellWatch r="G59015"/>
    <cellWatch r="G59016"/>
    <cellWatch r="G59017"/>
    <cellWatch r="G59018"/>
    <cellWatch r="G59019"/>
    <cellWatch r="G59020"/>
    <cellWatch r="G59021"/>
    <cellWatch r="G59022"/>
    <cellWatch r="G59023"/>
    <cellWatch r="G59024"/>
    <cellWatch r="G59025"/>
    <cellWatch r="G59026"/>
    <cellWatch r="G59027"/>
    <cellWatch r="G59028"/>
    <cellWatch r="G59029"/>
    <cellWatch r="G59030"/>
    <cellWatch r="G59031"/>
    <cellWatch r="G59032"/>
    <cellWatch r="G59033"/>
    <cellWatch r="G59034"/>
    <cellWatch r="G59035"/>
    <cellWatch r="G59036"/>
    <cellWatch r="G59037"/>
    <cellWatch r="G59038"/>
    <cellWatch r="G59039"/>
    <cellWatch r="G59040"/>
    <cellWatch r="G59041"/>
    <cellWatch r="G59042"/>
    <cellWatch r="G59043"/>
    <cellWatch r="G59044"/>
    <cellWatch r="G59045"/>
    <cellWatch r="G59046"/>
    <cellWatch r="G59047"/>
    <cellWatch r="G59048"/>
    <cellWatch r="G59049"/>
    <cellWatch r="G59050"/>
    <cellWatch r="G59051"/>
    <cellWatch r="G59052"/>
    <cellWatch r="G59053"/>
    <cellWatch r="G59054"/>
    <cellWatch r="G59055"/>
    <cellWatch r="G59056"/>
    <cellWatch r="G59057"/>
    <cellWatch r="G59058"/>
    <cellWatch r="G59059"/>
    <cellWatch r="G59060"/>
    <cellWatch r="G59061"/>
    <cellWatch r="G59062"/>
    <cellWatch r="G59063"/>
    <cellWatch r="G59064"/>
    <cellWatch r="G59065"/>
    <cellWatch r="G59066"/>
    <cellWatch r="G59067"/>
    <cellWatch r="G59068"/>
    <cellWatch r="G59069"/>
    <cellWatch r="G59070"/>
    <cellWatch r="G59071"/>
    <cellWatch r="G59072"/>
    <cellWatch r="G59073"/>
    <cellWatch r="G59074"/>
    <cellWatch r="G59075"/>
    <cellWatch r="G59076"/>
    <cellWatch r="G59077"/>
    <cellWatch r="G59078"/>
    <cellWatch r="G59079"/>
    <cellWatch r="G59080"/>
    <cellWatch r="G59081"/>
    <cellWatch r="G59082"/>
    <cellWatch r="G59083"/>
    <cellWatch r="G59084"/>
    <cellWatch r="G59085"/>
    <cellWatch r="G59086"/>
    <cellWatch r="G59087"/>
    <cellWatch r="G59088"/>
    <cellWatch r="G59089"/>
    <cellWatch r="G59090"/>
    <cellWatch r="G59091"/>
    <cellWatch r="G59092"/>
    <cellWatch r="G59093"/>
    <cellWatch r="G59094"/>
    <cellWatch r="G59095"/>
    <cellWatch r="G59096"/>
    <cellWatch r="G59097"/>
    <cellWatch r="G59098"/>
    <cellWatch r="G59099"/>
    <cellWatch r="G59100"/>
    <cellWatch r="G59101"/>
    <cellWatch r="G59102"/>
    <cellWatch r="G59103"/>
    <cellWatch r="G59104"/>
    <cellWatch r="G59105"/>
    <cellWatch r="G59106"/>
    <cellWatch r="G59107"/>
    <cellWatch r="G59108"/>
    <cellWatch r="G59109"/>
    <cellWatch r="G59110"/>
    <cellWatch r="G59111"/>
    <cellWatch r="G59112"/>
    <cellWatch r="G59113"/>
    <cellWatch r="G59114"/>
    <cellWatch r="G59115"/>
    <cellWatch r="G59116"/>
    <cellWatch r="G59117"/>
    <cellWatch r="G59118"/>
    <cellWatch r="G59119"/>
    <cellWatch r="G59120"/>
    <cellWatch r="G59121"/>
    <cellWatch r="G59122"/>
    <cellWatch r="G59123"/>
    <cellWatch r="G59124"/>
    <cellWatch r="G59125"/>
    <cellWatch r="G59126"/>
    <cellWatch r="G59127"/>
    <cellWatch r="G59128"/>
    <cellWatch r="G59129"/>
    <cellWatch r="G59130"/>
    <cellWatch r="G59131"/>
    <cellWatch r="G59132"/>
    <cellWatch r="G59133"/>
    <cellWatch r="G59134"/>
    <cellWatch r="G59135"/>
    <cellWatch r="G59136"/>
    <cellWatch r="G59137"/>
    <cellWatch r="G59138"/>
    <cellWatch r="G59139"/>
    <cellWatch r="G59140"/>
    <cellWatch r="G59141"/>
    <cellWatch r="G59142"/>
    <cellWatch r="G59143"/>
    <cellWatch r="G59144"/>
    <cellWatch r="G59145"/>
    <cellWatch r="G59146"/>
    <cellWatch r="G59147"/>
    <cellWatch r="G59148"/>
    <cellWatch r="G59149"/>
    <cellWatch r="G59150"/>
    <cellWatch r="G59151"/>
    <cellWatch r="G59152"/>
    <cellWatch r="G59153"/>
    <cellWatch r="G59154"/>
    <cellWatch r="G59155"/>
    <cellWatch r="G59156"/>
    <cellWatch r="G59157"/>
    <cellWatch r="G59158"/>
    <cellWatch r="G59159"/>
    <cellWatch r="G59160"/>
    <cellWatch r="G59161"/>
    <cellWatch r="G59162"/>
    <cellWatch r="G59163"/>
    <cellWatch r="G59164"/>
    <cellWatch r="G59165"/>
    <cellWatch r="G59166"/>
    <cellWatch r="G59167"/>
    <cellWatch r="G59168"/>
    <cellWatch r="G59169"/>
    <cellWatch r="G59170"/>
    <cellWatch r="G59171"/>
    <cellWatch r="G59172"/>
    <cellWatch r="G59173"/>
    <cellWatch r="G59174"/>
    <cellWatch r="G59175"/>
    <cellWatch r="G59176"/>
    <cellWatch r="G59177"/>
    <cellWatch r="G59178"/>
    <cellWatch r="G59179"/>
    <cellWatch r="G59180"/>
    <cellWatch r="G59181"/>
    <cellWatch r="G59182"/>
    <cellWatch r="G59183"/>
    <cellWatch r="G59184"/>
    <cellWatch r="G59185"/>
    <cellWatch r="G59186"/>
    <cellWatch r="G59187"/>
    <cellWatch r="G59188"/>
    <cellWatch r="G59189"/>
    <cellWatch r="G59190"/>
    <cellWatch r="G59191"/>
    <cellWatch r="G59192"/>
    <cellWatch r="G59193"/>
    <cellWatch r="G59194"/>
    <cellWatch r="G59195"/>
    <cellWatch r="G59196"/>
    <cellWatch r="G59197"/>
    <cellWatch r="G59198"/>
    <cellWatch r="G59199"/>
    <cellWatch r="G59200"/>
    <cellWatch r="G59201"/>
    <cellWatch r="G59202"/>
    <cellWatch r="G59203"/>
    <cellWatch r="G59204"/>
    <cellWatch r="G59205"/>
    <cellWatch r="G59206"/>
    <cellWatch r="G59207"/>
    <cellWatch r="G59208"/>
    <cellWatch r="G59209"/>
    <cellWatch r="G59210"/>
    <cellWatch r="G59211"/>
    <cellWatch r="G59212"/>
    <cellWatch r="G59213"/>
    <cellWatch r="G59214"/>
    <cellWatch r="G59215"/>
    <cellWatch r="G59216"/>
    <cellWatch r="G59217"/>
    <cellWatch r="G59218"/>
    <cellWatch r="G59219"/>
    <cellWatch r="G59220"/>
    <cellWatch r="G59221"/>
    <cellWatch r="G59222"/>
    <cellWatch r="G59223"/>
    <cellWatch r="G59224"/>
    <cellWatch r="G59225"/>
    <cellWatch r="G59226"/>
    <cellWatch r="G59227"/>
    <cellWatch r="G59228"/>
    <cellWatch r="G59229"/>
    <cellWatch r="G59230"/>
    <cellWatch r="G59231"/>
    <cellWatch r="G59232"/>
    <cellWatch r="G59233"/>
    <cellWatch r="G59234"/>
    <cellWatch r="G59235"/>
    <cellWatch r="G59236"/>
    <cellWatch r="G59237"/>
    <cellWatch r="G59238"/>
    <cellWatch r="G59239"/>
    <cellWatch r="G59240"/>
    <cellWatch r="G59241"/>
    <cellWatch r="G59242"/>
    <cellWatch r="G59243"/>
    <cellWatch r="G59244"/>
    <cellWatch r="G59245"/>
    <cellWatch r="G59246"/>
    <cellWatch r="G59247"/>
    <cellWatch r="G59248"/>
    <cellWatch r="G59249"/>
    <cellWatch r="G59250"/>
    <cellWatch r="G59251"/>
    <cellWatch r="G59252"/>
    <cellWatch r="G59253"/>
    <cellWatch r="G59254"/>
    <cellWatch r="G59255"/>
    <cellWatch r="G59256"/>
    <cellWatch r="G59257"/>
    <cellWatch r="G59258"/>
    <cellWatch r="G59259"/>
    <cellWatch r="G59260"/>
    <cellWatch r="G59261"/>
    <cellWatch r="G59262"/>
    <cellWatch r="G59263"/>
    <cellWatch r="G59264"/>
    <cellWatch r="G59265"/>
    <cellWatch r="G59266"/>
    <cellWatch r="G59267"/>
    <cellWatch r="G59268"/>
    <cellWatch r="G59269"/>
    <cellWatch r="G59270"/>
    <cellWatch r="G59271"/>
    <cellWatch r="G59272"/>
    <cellWatch r="G59273"/>
    <cellWatch r="G59274"/>
    <cellWatch r="G59275"/>
    <cellWatch r="G59276"/>
    <cellWatch r="G59277"/>
    <cellWatch r="G59278"/>
    <cellWatch r="G59279"/>
    <cellWatch r="G59280"/>
    <cellWatch r="G59281"/>
    <cellWatch r="G59282"/>
    <cellWatch r="G59283"/>
    <cellWatch r="G59284"/>
    <cellWatch r="G59285"/>
    <cellWatch r="G59286"/>
    <cellWatch r="G59287"/>
    <cellWatch r="G59288"/>
    <cellWatch r="G59289"/>
    <cellWatch r="G59290"/>
    <cellWatch r="G59291"/>
    <cellWatch r="G59292"/>
    <cellWatch r="G59293"/>
    <cellWatch r="G59294"/>
    <cellWatch r="G59295"/>
    <cellWatch r="G59296"/>
    <cellWatch r="G59297"/>
    <cellWatch r="G59298"/>
    <cellWatch r="G59299"/>
    <cellWatch r="G59300"/>
    <cellWatch r="G59301"/>
    <cellWatch r="G59302"/>
    <cellWatch r="G59303"/>
    <cellWatch r="G59304"/>
    <cellWatch r="G59305"/>
    <cellWatch r="G59306"/>
    <cellWatch r="G59307"/>
    <cellWatch r="G59308"/>
    <cellWatch r="G59309"/>
    <cellWatch r="G59310"/>
    <cellWatch r="G59311"/>
    <cellWatch r="G59312"/>
    <cellWatch r="G59313"/>
    <cellWatch r="G59314"/>
    <cellWatch r="G59315"/>
    <cellWatch r="G59316"/>
    <cellWatch r="G59317"/>
    <cellWatch r="G59318"/>
    <cellWatch r="G59319"/>
    <cellWatch r="G59320"/>
    <cellWatch r="G59321"/>
    <cellWatch r="G59322"/>
    <cellWatch r="G59323"/>
    <cellWatch r="G59324"/>
    <cellWatch r="G59325"/>
    <cellWatch r="G59326"/>
    <cellWatch r="G59327"/>
    <cellWatch r="G59328"/>
    <cellWatch r="G59329"/>
    <cellWatch r="G59330"/>
    <cellWatch r="G59331"/>
    <cellWatch r="G59332"/>
    <cellWatch r="G59333"/>
    <cellWatch r="G59334"/>
    <cellWatch r="G59335"/>
    <cellWatch r="G59336"/>
    <cellWatch r="G59337"/>
    <cellWatch r="G59338"/>
    <cellWatch r="G59339"/>
    <cellWatch r="G59340"/>
    <cellWatch r="G59341"/>
    <cellWatch r="G59342"/>
    <cellWatch r="G59343"/>
    <cellWatch r="G59344"/>
    <cellWatch r="G59345"/>
    <cellWatch r="G59346"/>
    <cellWatch r="G59347"/>
    <cellWatch r="G59348"/>
    <cellWatch r="G59349"/>
    <cellWatch r="G59350"/>
    <cellWatch r="G59351"/>
    <cellWatch r="G59352"/>
    <cellWatch r="G59353"/>
    <cellWatch r="G59354"/>
    <cellWatch r="G59355"/>
    <cellWatch r="G59356"/>
    <cellWatch r="G59357"/>
    <cellWatch r="G59358"/>
    <cellWatch r="G59359"/>
    <cellWatch r="G59360"/>
    <cellWatch r="G59361"/>
    <cellWatch r="G59362"/>
    <cellWatch r="G59363"/>
    <cellWatch r="G59364"/>
    <cellWatch r="G59365"/>
    <cellWatch r="G59366"/>
    <cellWatch r="G59367"/>
    <cellWatch r="G59368"/>
    <cellWatch r="G59369"/>
    <cellWatch r="G59370"/>
    <cellWatch r="G59371"/>
    <cellWatch r="G59372"/>
    <cellWatch r="G59373"/>
    <cellWatch r="G59374"/>
    <cellWatch r="G59375"/>
    <cellWatch r="G59376"/>
    <cellWatch r="G59377"/>
    <cellWatch r="G59378"/>
    <cellWatch r="G59379"/>
    <cellWatch r="G59380"/>
    <cellWatch r="G59381"/>
    <cellWatch r="G59382"/>
    <cellWatch r="G59383"/>
    <cellWatch r="G59384"/>
    <cellWatch r="G59385"/>
    <cellWatch r="G59386"/>
    <cellWatch r="G59387"/>
    <cellWatch r="G59388"/>
    <cellWatch r="G59389"/>
    <cellWatch r="G59390"/>
    <cellWatch r="G59391"/>
    <cellWatch r="G59392"/>
    <cellWatch r="G59393"/>
    <cellWatch r="G59394"/>
    <cellWatch r="G59395"/>
    <cellWatch r="G59396"/>
    <cellWatch r="G59397"/>
    <cellWatch r="G59398"/>
    <cellWatch r="G59399"/>
    <cellWatch r="G59400"/>
    <cellWatch r="G59401"/>
    <cellWatch r="G59402"/>
    <cellWatch r="G59403"/>
    <cellWatch r="G59404"/>
    <cellWatch r="G59405"/>
    <cellWatch r="G59406"/>
    <cellWatch r="G59407"/>
    <cellWatch r="G59408"/>
    <cellWatch r="G59409"/>
    <cellWatch r="G59410"/>
    <cellWatch r="G59411"/>
    <cellWatch r="G59412"/>
    <cellWatch r="G59413"/>
    <cellWatch r="G59414"/>
    <cellWatch r="G59415"/>
    <cellWatch r="G59416"/>
    <cellWatch r="G59417"/>
    <cellWatch r="G59418"/>
    <cellWatch r="G59419"/>
    <cellWatch r="G59420"/>
    <cellWatch r="G59421"/>
    <cellWatch r="G59422"/>
    <cellWatch r="G59423"/>
    <cellWatch r="G59424"/>
    <cellWatch r="G59425"/>
    <cellWatch r="G59426"/>
    <cellWatch r="G59427"/>
    <cellWatch r="G59428"/>
    <cellWatch r="G59429"/>
    <cellWatch r="G59430"/>
    <cellWatch r="G59431"/>
    <cellWatch r="G59432"/>
    <cellWatch r="G59433"/>
    <cellWatch r="G59434"/>
    <cellWatch r="G59435"/>
    <cellWatch r="G59436"/>
    <cellWatch r="G59437"/>
    <cellWatch r="G59438"/>
    <cellWatch r="G59439"/>
    <cellWatch r="G59440"/>
    <cellWatch r="G59441"/>
    <cellWatch r="G59442"/>
    <cellWatch r="G59443"/>
    <cellWatch r="G59444"/>
    <cellWatch r="G59445"/>
    <cellWatch r="G59446"/>
    <cellWatch r="G59447"/>
    <cellWatch r="G59448"/>
    <cellWatch r="G59449"/>
    <cellWatch r="G59450"/>
    <cellWatch r="G59451"/>
    <cellWatch r="G59452"/>
    <cellWatch r="G59453"/>
    <cellWatch r="G59454"/>
    <cellWatch r="G59455"/>
    <cellWatch r="G59456"/>
    <cellWatch r="G59457"/>
    <cellWatch r="G59458"/>
    <cellWatch r="G59459"/>
    <cellWatch r="G59460"/>
    <cellWatch r="G59461"/>
    <cellWatch r="G59462"/>
    <cellWatch r="G59463"/>
    <cellWatch r="G59464"/>
    <cellWatch r="G59465"/>
    <cellWatch r="G59466"/>
    <cellWatch r="G59467"/>
    <cellWatch r="G59468"/>
    <cellWatch r="G59469"/>
    <cellWatch r="G59470"/>
    <cellWatch r="G59471"/>
    <cellWatch r="G59472"/>
    <cellWatch r="G59473"/>
    <cellWatch r="G59474"/>
    <cellWatch r="G59475"/>
    <cellWatch r="G59476"/>
    <cellWatch r="G59477"/>
    <cellWatch r="G59478"/>
    <cellWatch r="G59479"/>
    <cellWatch r="G59480"/>
    <cellWatch r="G59481"/>
    <cellWatch r="G59482"/>
    <cellWatch r="G59483"/>
    <cellWatch r="G59484"/>
    <cellWatch r="G59485"/>
    <cellWatch r="G59486"/>
    <cellWatch r="G59487"/>
    <cellWatch r="G59488"/>
    <cellWatch r="G59489"/>
    <cellWatch r="G59490"/>
    <cellWatch r="G59491"/>
    <cellWatch r="G59492"/>
    <cellWatch r="G59493"/>
    <cellWatch r="G59494"/>
    <cellWatch r="G59495"/>
    <cellWatch r="G59496"/>
    <cellWatch r="G59497"/>
    <cellWatch r="G59498"/>
    <cellWatch r="G59499"/>
    <cellWatch r="G59500"/>
    <cellWatch r="G59501"/>
    <cellWatch r="G59502"/>
    <cellWatch r="G59503"/>
    <cellWatch r="G59504"/>
    <cellWatch r="G59505"/>
    <cellWatch r="G59506"/>
    <cellWatch r="G59507"/>
    <cellWatch r="G59508"/>
    <cellWatch r="G59509"/>
    <cellWatch r="G59510"/>
    <cellWatch r="G59511"/>
    <cellWatch r="G59512"/>
    <cellWatch r="G59513"/>
    <cellWatch r="G59514"/>
    <cellWatch r="G59515"/>
    <cellWatch r="G59516"/>
    <cellWatch r="G59517"/>
    <cellWatch r="G59518"/>
    <cellWatch r="G59519"/>
    <cellWatch r="G59520"/>
    <cellWatch r="G59521"/>
    <cellWatch r="G59522"/>
    <cellWatch r="G59523"/>
    <cellWatch r="G59524"/>
    <cellWatch r="G59525"/>
    <cellWatch r="G59526"/>
    <cellWatch r="G59527"/>
    <cellWatch r="G59528"/>
    <cellWatch r="G59529"/>
    <cellWatch r="G59530"/>
    <cellWatch r="G59531"/>
    <cellWatch r="G59532"/>
    <cellWatch r="G59533"/>
    <cellWatch r="G59534"/>
    <cellWatch r="G59535"/>
    <cellWatch r="G59536"/>
    <cellWatch r="G59537"/>
    <cellWatch r="G59538"/>
    <cellWatch r="G59539"/>
    <cellWatch r="G59540"/>
    <cellWatch r="G59541"/>
    <cellWatch r="G59542"/>
    <cellWatch r="G59543"/>
    <cellWatch r="G59544"/>
    <cellWatch r="G59545"/>
    <cellWatch r="G59546"/>
    <cellWatch r="G59547"/>
    <cellWatch r="G59548"/>
    <cellWatch r="G59549"/>
    <cellWatch r="G59550"/>
    <cellWatch r="G59551"/>
    <cellWatch r="G59552"/>
    <cellWatch r="G59553"/>
    <cellWatch r="G59554"/>
    <cellWatch r="G59555"/>
    <cellWatch r="G59556"/>
    <cellWatch r="G59557"/>
    <cellWatch r="G59558"/>
    <cellWatch r="G59559"/>
    <cellWatch r="G59560"/>
    <cellWatch r="G59561"/>
    <cellWatch r="G59562"/>
    <cellWatch r="G59563"/>
    <cellWatch r="G59564"/>
    <cellWatch r="G59565"/>
    <cellWatch r="G59566"/>
    <cellWatch r="G59567"/>
    <cellWatch r="G59568"/>
    <cellWatch r="G59569"/>
    <cellWatch r="G59570"/>
    <cellWatch r="G59571"/>
    <cellWatch r="G59572"/>
    <cellWatch r="G59573"/>
    <cellWatch r="G59574"/>
    <cellWatch r="G59575"/>
    <cellWatch r="G59576"/>
    <cellWatch r="G59577"/>
    <cellWatch r="G59578"/>
    <cellWatch r="G59579"/>
    <cellWatch r="G59580"/>
    <cellWatch r="G59581"/>
    <cellWatch r="G59582"/>
    <cellWatch r="G59583"/>
    <cellWatch r="G59584"/>
    <cellWatch r="G59585"/>
    <cellWatch r="G59586"/>
    <cellWatch r="G59587"/>
    <cellWatch r="G59588"/>
    <cellWatch r="G59589"/>
    <cellWatch r="G59590"/>
    <cellWatch r="G59591"/>
    <cellWatch r="G59592"/>
    <cellWatch r="G59593"/>
    <cellWatch r="G59594"/>
    <cellWatch r="G59595"/>
    <cellWatch r="G59596"/>
    <cellWatch r="G59597"/>
    <cellWatch r="G59598"/>
    <cellWatch r="G59599"/>
    <cellWatch r="G59600"/>
    <cellWatch r="G59601"/>
    <cellWatch r="G59602"/>
    <cellWatch r="G59603"/>
    <cellWatch r="G59604"/>
    <cellWatch r="G59605"/>
    <cellWatch r="G59606"/>
    <cellWatch r="G59607"/>
    <cellWatch r="G59608"/>
    <cellWatch r="G59609"/>
    <cellWatch r="G59610"/>
    <cellWatch r="G59611"/>
    <cellWatch r="G59612"/>
    <cellWatch r="G59613"/>
    <cellWatch r="G59614"/>
    <cellWatch r="G59615"/>
    <cellWatch r="G59616"/>
    <cellWatch r="G59617"/>
    <cellWatch r="G59618"/>
    <cellWatch r="G59619"/>
    <cellWatch r="G59620"/>
    <cellWatch r="G59621"/>
    <cellWatch r="G59622"/>
    <cellWatch r="G59623"/>
    <cellWatch r="G59624"/>
    <cellWatch r="G59625"/>
    <cellWatch r="G59626"/>
    <cellWatch r="G59627"/>
    <cellWatch r="G59628"/>
    <cellWatch r="G59629"/>
    <cellWatch r="G59630"/>
    <cellWatch r="G59631"/>
    <cellWatch r="G59632"/>
    <cellWatch r="G59633"/>
    <cellWatch r="G59634"/>
    <cellWatch r="G59635"/>
    <cellWatch r="G59636"/>
    <cellWatch r="G59637"/>
    <cellWatch r="G59638"/>
    <cellWatch r="G59639"/>
    <cellWatch r="G59640"/>
    <cellWatch r="G59641"/>
    <cellWatch r="G59642"/>
    <cellWatch r="G59643"/>
    <cellWatch r="G59644"/>
    <cellWatch r="G59645"/>
    <cellWatch r="G59646"/>
    <cellWatch r="G59647"/>
    <cellWatch r="G59648"/>
    <cellWatch r="G59649"/>
    <cellWatch r="G59650"/>
    <cellWatch r="G59651"/>
    <cellWatch r="G59652"/>
    <cellWatch r="G59653"/>
    <cellWatch r="G59654"/>
    <cellWatch r="G59655"/>
    <cellWatch r="G59656"/>
    <cellWatch r="G59657"/>
    <cellWatch r="G59658"/>
    <cellWatch r="G59659"/>
    <cellWatch r="G59660"/>
    <cellWatch r="G59661"/>
    <cellWatch r="G59662"/>
    <cellWatch r="G59663"/>
    <cellWatch r="G59664"/>
    <cellWatch r="G59665"/>
    <cellWatch r="G59666"/>
    <cellWatch r="G59667"/>
    <cellWatch r="G59668"/>
    <cellWatch r="G59669"/>
    <cellWatch r="G59670"/>
    <cellWatch r="G59671"/>
    <cellWatch r="G59672"/>
    <cellWatch r="G59673"/>
    <cellWatch r="G59674"/>
    <cellWatch r="G59675"/>
    <cellWatch r="G59676"/>
    <cellWatch r="G59677"/>
    <cellWatch r="G59678"/>
    <cellWatch r="G59679"/>
    <cellWatch r="G59680"/>
    <cellWatch r="G59681"/>
    <cellWatch r="G59682"/>
    <cellWatch r="G59683"/>
    <cellWatch r="G59684"/>
    <cellWatch r="G59685"/>
    <cellWatch r="G59686"/>
    <cellWatch r="G59687"/>
    <cellWatch r="G59688"/>
    <cellWatch r="G59689"/>
    <cellWatch r="G59690"/>
    <cellWatch r="G59691"/>
    <cellWatch r="G59692"/>
    <cellWatch r="G59693"/>
    <cellWatch r="G59694"/>
    <cellWatch r="G59695"/>
    <cellWatch r="G59696"/>
    <cellWatch r="G59697"/>
    <cellWatch r="G59698"/>
    <cellWatch r="G59699"/>
    <cellWatch r="G59700"/>
    <cellWatch r="G59701"/>
    <cellWatch r="G59702"/>
    <cellWatch r="G59703"/>
    <cellWatch r="G59704"/>
    <cellWatch r="G59705"/>
    <cellWatch r="G59706"/>
    <cellWatch r="G59707"/>
    <cellWatch r="G59708"/>
    <cellWatch r="G59709"/>
    <cellWatch r="G59710"/>
    <cellWatch r="G59711"/>
    <cellWatch r="G59712"/>
    <cellWatch r="G59713"/>
    <cellWatch r="G59714"/>
    <cellWatch r="G59715"/>
    <cellWatch r="G59716"/>
    <cellWatch r="G59717"/>
    <cellWatch r="G59718"/>
    <cellWatch r="G59719"/>
    <cellWatch r="G59720"/>
    <cellWatch r="G59721"/>
    <cellWatch r="G59722"/>
    <cellWatch r="G59723"/>
    <cellWatch r="G59724"/>
    <cellWatch r="G59725"/>
    <cellWatch r="G59726"/>
    <cellWatch r="G59727"/>
    <cellWatch r="G59728"/>
    <cellWatch r="G59729"/>
    <cellWatch r="G59730"/>
    <cellWatch r="G59731"/>
    <cellWatch r="G59732"/>
    <cellWatch r="G59733"/>
    <cellWatch r="G59734"/>
    <cellWatch r="G59735"/>
    <cellWatch r="G59736"/>
    <cellWatch r="G59737"/>
    <cellWatch r="G59738"/>
    <cellWatch r="G59739"/>
    <cellWatch r="G59740"/>
    <cellWatch r="G59741"/>
    <cellWatch r="G59742"/>
    <cellWatch r="G59743"/>
    <cellWatch r="G59744"/>
    <cellWatch r="G59745"/>
    <cellWatch r="G59746"/>
    <cellWatch r="G59747"/>
    <cellWatch r="G59748"/>
    <cellWatch r="G59749"/>
    <cellWatch r="G59750"/>
    <cellWatch r="G59751"/>
    <cellWatch r="G59752"/>
    <cellWatch r="G59753"/>
    <cellWatch r="G59754"/>
    <cellWatch r="G59755"/>
    <cellWatch r="G59756"/>
    <cellWatch r="G59757"/>
    <cellWatch r="G59758"/>
    <cellWatch r="G59759"/>
    <cellWatch r="G59760"/>
    <cellWatch r="G59761"/>
    <cellWatch r="G59762"/>
    <cellWatch r="G59763"/>
    <cellWatch r="G59764"/>
    <cellWatch r="G59765"/>
    <cellWatch r="G59766"/>
    <cellWatch r="G59767"/>
    <cellWatch r="G59768"/>
    <cellWatch r="G59769"/>
    <cellWatch r="G59770"/>
    <cellWatch r="G59771"/>
    <cellWatch r="G59772"/>
    <cellWatch r="G59773"/>
    <cellWatch r="G59774"/>
    <cellWatch r="G59775"/>
    <cellWatch r="G59776"/>
    <cellWatch r="G59777"/>
    <cellWatch r="G59778"/>
    <cellWatch r="G59779"/>
    <cellWatch r="G59780"/>
    <cellWatch r="G59781"/>
    <cellWatch r="G59782"/>
    <cellWatch r="G59783"/>
    <cellWatch r="G59784"/>
    <cellWatch r="G59785"/>
    <cellWatch r="G59786"/>
    <cellWatch r="G59787"/>
    <cellWatch r="G59788"/>
    <cellWatch r="G59789"/>
    <cellWatch r="G59790"/>
    <cellWatch r="G59791"/>
    <cellWatch r="G59792"/>
    <cellWatch r="G59793"/>
    <cellWatch r="G59794"/>
    <cellWatch r="G59795"/>
    <cellWatch r="G59796"/>
    <cellWatch r="G59797"/>
    <cellWatch r="G59798"/>
    <cellWatch r="G59799"/>
    <cellWatch r="G59800"/>
    <cellWatch r="G59801"/>
    <cellWatch r="G59802"/>
    <cellWatch r="G59803"/>
    <cellWatch r="G59804"/>
    <cellWatch r="G59805"/>
    <cellWatch r="G59806"/>
    <cellWatch r="G59807"/>
    <cellWatch r="G59808"/>
    <cellWatch r="G59809"/>
    <cellWatch r="G59810"/>
    <cellWatch r="G59811"/>
    <cellWatch r="G59812"/>
    <cellWatch r="G59813"/>
    <cellWatch r="G59814"/>
    <cellWatch r="G59815"/>
    <cellWatch r="G59816"/>
    <cellWatch r="G59817"/>
    <cellWatch r="G59818"/>
    <cellWatch r="G59819"/>
    <cellWatch r="G59820"/>
    <cellWatch r="G59821"/>
    <cellWatch r="G59822"/>
    <cellWatch r="G59823"/>
    <cellWatch r="G59824"/>
    <cellWatch r="G59825"/>
    <cellWatch r="G59826"/>
    <cellWatch r="G59827"/>
    <cellWatch r="G59828"/>
    <cellWatch r="G59829"/>
    <cellWatch r="G59830"/>
    <cellWatch r="G59831"/>
    <cellWatch r="G59832"/>
    <cellWatch r="G59833"/>
    <cellWatch r="G59834"/>
    <cellWatch r="G59835"/>
    <cellWatch r="G59836"/>
    <cellWatch r="G59837"/>
    <cellWatch r="G59838"/>
    <cellWatch r="G59839"/>
    <cellWatch r="G59840"/>
    <cellWatch r="G59841"/>
    <cellWatch r="G59842"/>
    <cellWatch r="G59843"/>
    <cellWatch r="G59844"/>
    <cellWatch r="G59845"/>
    <cellWatch r="G59846"/>
    <cellWatch r="G59847"/>
    <cellWatch r="G59848"/>
    <cellWatch r="G59849"/>
    <cellWatch r="G59850"/>
    <cellWatch r="G59851"/>
    <cellWatch r="G59852"/>
    <cellWatch r="G59853"/>
    <cellWatch r="G59854"/>
    <cellWatch r="G59855"/>
    <cellWatch r="G59856"/>
    <cellWatch r="G59857"/>
    <cellWatch r="G59858"/>
    <cellWatch r="G59859"/>
    <cellWatch r="G59860"/>
    <cellWatch r="G59861"/>
    <cellWatch r="G59862"/>
    <cellWatch r="G59863"/>
    <cellWatch r="G59864"/>
    <cellWatch r="G59865"/>
    <cellWatch r="G59866"/>
    <cellWatch r="G59867"/>
    <cellWatch r="G59868"/>
    <cellWatch r="G59869"/>
    <cellWatch r="G59870"/>
    <cellWatch r="G59871"/>
    <cellWatch r="G59872"/>
    <cellWatch r="G59873"/>
    <cellWatch r="G59874"/>
    <cellWatch r="G59875"/>
    <cellWatch r="G59876"/>
    <cellWatch r="G59877"/>
    <cellWatch r="G59878"/>
    <cellWatch r="G59879"/>
    <cellWatch r="G59880"/>
    <cellWatch r="G59881"/>
    <cellWatch r="G59882"/>
    <cellWatch r="G59883"/>
    <cellWatch r="G59884"/>
    <cellWatch r="G59885"/>
    <cellWatch r="G59886"/>
    <cellWatch r="G59887"/>
    <cellWatch r="G59888"/>
    <cellWatch r="G59889"/>
    <cellWatch r="G59890"/>
    <cellWatch r="G59891"/>
    <cellWatch r="G59892"/>
    <cellWatch r="G59893"/>
    <cellWatch r="G59894"/>
    <cellWatch r="G59895"/>
    <cellWatch r="G59896"/>
    <cellWatch r="G59897"/>
    <cellWatch r="G59898"/>
    <cellWatch r="G59899"/>
    <cellWatch r="G59900"/>
    <cellWatch r="G59901"/>
    <cellWatch r="G59902"/>
    <cellWatch r="G59903"/>
    <cellWatch r="G59904"/>
    <cellWatch r="G59905"/>
    <cellWatch r="G59906"/>
    <cellWatch r="G59907"/>
    <cellWatch r="G59908"/>
    <cellWatch r="G59909"/>
    <cellWatch r="G59910"/>
    <cellWatch r="G59911"/>
    <cellWatch r="G59912"/>
    <cellWatch r="G59913"/>
    <cellWatch r="G59914"/>
    <cellWatch r="G59915"/>
    <cellWatch r="G59916"/>
    <cellWatch r="G59917"/>
    <cellWatch r="G59918"/>
    <cellWatch r="G59919"/>
    <cellWatch r="G59920"/>
    <cellWatch r="G59921"/>
    <cellWatch r="G59922"/>
    <cellWatch r="G59923"/>
    <cellWatch r="G59924"/>
    <cellWatch r="G59925"/>
    <cellWatch r="G59926"/>
    <cellWatch r="G59927"/>
    <cellWatch r="G59928"/>
    <cellWatch r="G59929"/>
    <cellWatch r="G59930"/>
    <cellWatch r="G59931"/>
    <cellWatch r="G59932"/>
    <cellWatch r="G59933"/>
    <cellWatch r="G59934"/>
    <cellWatch r="G59935"/>
    <cellWatch r="G59936"/>
    <cellWatch r="G59937"/>
    <cellWatch r="G59938"/>
    <cellWatch r="G59939"/>
    <cellWatch r="G59940"/>
    <cellWatch r="G59941"/>
    <cellWatch r="G59942"/>
    <cellWatch r="G59943"/>
    <cellWatch r="G59944"/>
    <cellWatch r="G59945"/>
    <cellWatch r="G59946"/>
    <cellWatch r="G59947"/>
    <cellWatch r="G59948"/>
    <cellWatch r="G59949"/>
    <cellWatch r="G59950"/>
    <cellWatch r="G59951"/>
    <cellWatch r="G59952"/>
    <cellWatch r="G59953"/>
    <cellWatch r="G59954"/>
    <cellWatch r="G59955"/>
    <cellWatch r="G59956"/>
    <cellWatch r="G59957"/>
    <cellWatch r="G59958"/>
    <cellWatch r="G59959"/>
    <cellWatch r="G59960"/>
    <cellWatch r="G59961"/>
    <cellWatch r="G59962"/>
    <cellWatch r="G59963"/>
    <cellWatch r="G59964"/>
    <cellWatch r="G59965"/>
    <cellWatch r="G59966"/>
    <cellWatch r="G59967"/>
    <cellWatch r="G59968"/>
    <cellWatch r="G59969"/>
    <cellWatch r="G59970"/>
    <cellWatch r="G59971"/>
    <cellWatch r="G59972"/>
    <cellWatch r="G59973"/>
    <cellWatch r="G59974"/>
    <cellWatch r="G59975"/>
    <cellWatch r="G59976"/>
    <cellWatch r="G59977"/>
    <cellWatch r="G59978"/>
    <cellWatch r="G59979"/>
    <cellWatch r="G59980"/>
    <cellWatch r="G59981"/>
    <cellWatch r="G59982"/>
    <cellWatch r="G59983"/>
    <cellWatch r="G59984"/>
    <cellWatch r="G59985"/>
    <cellWatch r="G59986"/>
    <cellWatch r="G59987"/>
    <cellWatch r="G59988"/>
    <cellWatch r="G59989"/>
    <cellWatch r="G59990"/>
    <cellWatch r="G59991"/>
    <cellWatch r="G59992"/>
    <cellWatch r="G59993"/>
    <cellWatch r="G59994"/>
    <cellWatch r="G59995"/>
    <cellWatch r="G59996"/>
    <cellWatch r="G59997"/>
    <cellWatch r="G59998"/>
    <cellWatch r="G59999"/>
    <cellWatch r="G60000"/>
    <cellWatch r="G60001"/>
    <cellWatch r="G60002"/>
    <cellWatch r="G60003"/>
    <cellWatch r="G60004"/>
    <cellWatch r="G60005"/>
    <cellWatch r="G60006"/>
    <cellWatch r="G60007"/>
    <cellWatch r="G60008"/>
    <cellWatch r="G60009"/>
    <cellWatch r="G60010"/>
    <cellWatch r="G60011"/>
    <cellWatch r="G60012"/>
    <cellWatch r="G60013"/>
    <cellWatch r="G60014"/>
    <cellWatch r="G60015"/>
    <cellWatch r="G60016"/>
    <cellWatch r="G60017"/>
    <cellWatch r="G60018"/>
    <cellWatch r="G60019"/>
    <cellWatch r="G60020"/>
    <cellWatch r="G60021"/>
    <cellWatch r="G60022"/>
    <cellWatch r="G60023"/>
    <cellWatch r="G60024"/>
    <cellWatch r="G60025"/>
    <cellWatch r="G60026"/>
    <cellWatch r="G60027"/>
    <cellWatch r="G60028"/>
    <cellWatch r="G60029"/>
    <cellWatch r="G60030"/>
    <cellWatch r="G60031"/>
    <cellWatch r="G60032"/>
    <cellWatch r="G60033"/>
    <cellWatch r="G60034"/>
    <cellWatch r="G60035"/>
    <cellWatch r="G60036"/>
    <cellWatch r="G60037"/>
    <cellWatch r="G60038"/>
    <cellWatch r="G60039"/>
    <cellWatch r="G60040"/>
    <cellWatch r="G60041"/>
    <cellWatch r="G60042"/>
    <cellWatch r="G60043"/>
    <cellWatch r="G60044"/>
    <cellWatch r="G60045"/>
    <cellWatch r="G60046"/>
    <cellWatch r="G60047"/>
    <cellWatch r="G60048"/>
    <cellWatch r="G60049"/>
    <cellWatch r="G60050"/>
    <cellWatch r="G60051"/>
    <cellWatch r="G60052"/>
    <cellWatch r="G60053"/>
    <cellWatch r="G60054"/>
    <cellWatch r="G60055"/>
    <cellWatch r="G60056"/>
    <cellWatch r="G60057"/>
    <cellWatch r="G60058"/>
    <cellWatch r="G60059"/>
    <cellWatch r="G60060"/>
    <cellWatch r="G60061"/>
    <cellWatch r="G60062"/>
    <cellWatch r="G60063"/>
    <cellWatch r="G60064"/>
    <cellWatch r="G60065"/>
    <cellWatch r="G60066"/>
    <cellWatch r="G60067"/>
    <cellWatch r="G60068"/>
    <cellWatch r="G60069"/>
    <cellWatch r="G60070"/>
    <cellWatch r="G60071"/>
    <cellWatch r="G60072"/>
    <cellWatch r="G60073"/>
    <cellWatch r="G60074"/>
    <cellWatch r="G60075"/>
    <cellWatch r="G60076"/>
    <cellWatch r="G60077"/>
    <cellWatch r="G60078"/>
    <cellWatch r="G60079"/>
    <cellWatch r="G60080"/>
    <cellWatch r="G60081"/>
    <cellWatch r="G60082"/>
    <cellWatch r="G60083"/>
    <cellWatch r="G60084"/>
    <cellWatch r="G60085"/>
    <cellWatch r="G60086"/>
    <cellWatch r="G60087"/>
    <cellWatch r="G60088"/>
    <cellWatch r="G60089"/>
    <cellWatch r="G60090"/>
    <cellWatch r="G60091"/>
    <cellWatch r="G60092"/>
    <cellWatch r="G60093"/>
    <cellWatch r="G60094"/>
    <cellWatch r="G60095"/>
    <cellWatch r="G60096"/>
    <cellWatch r="G60097"/>
    <cellWatch r="G60098"/>
    <cellWatch r="G60099"/>
    <cellWatch r="G60100"/>
    <cellWatch r="G60101"/>
    <cellWatch r="G60102"/>
    <cellWatch r="G60103"/>
    <cellWatch r="G60104"/>
    <cellWatch r="G60105"/>
    <cellWatch r="G60106"/>
    <cellWatch r="G60107"/>
    <cellWatch r="G60108"/>
    <cellWatch r="G60109"/>
    <cellWatch r="G60110"/>
    <cellWatch r="G60111"/>
    <cellWatch r="G60112"/>
    <cellWatch r="G60113"/>
    <cellWatch r="G60114"/>
    <cellWatch r="G60115"/>
    <cellWatch r="G60116"/>
    <cellWatch r="G60117"/>
    <cellWatch r="G60118"/>
    <cellWatch r="G60119"/>
    <cellWatch r="G60120"/>
    <cellWatch r="G60121"/>
    <cellWatch r="G60122"/>
    <cellWatch r="G60123"/>
    <cellWatch r="G60124"/>
    <cellWatch r="G60125"/>
    <cellWatch r="G60126"/>
    <cellWatch r="G60127"/>
    <cellWatch r="G60128"/>
    <cellWatch r="G60129"/>
    <cellWatch r="G60130"/>
    <cellWatch r="G60131"/>
    <cellWatch r="G60132"/>
    <cellWatch r="G60133"/>
    <cellWatch r="G60134"/>
    <cellWatch r="G60135"/>
    <cellWatch r="G60136"/>
    <cellWatch r="G60137"/>
    <cellWatch r="G60138"/>
    <cellWatch r="G60139"/>
    <cellWatch r="G60140"/>
    <cellWatch r="G60141"/>
    <cellWatch r="G60142"/>
    <cellWatch r="G60143"/>
    <cellWatch r="G60144"/>
    <cellWatch r="G60145"/>
    <cellWatch r="G60146"/>
    <cellWatch r="G60147"/>
    <cellWatch r="G60148"/>
    <cellWatch r="G60149"/>
    <cellWatch r="G60150"/>
    <cellWatch r="G60151"/>
    <cellWatch r="G60152"/>
    <cellWatch r="G60153"/>
    <cellWatch r="G60154"/>
    <cellWatch r="G60155"/>
    <cellWatch r="G60156"/>
    <cellWatch r="G60157"/>
    <cellWatch r="G60158"/>
    <cellWatch r="G60159"/>
    <cellWatch r="G60160"/>
    <cellWatch r="G60161"/>
    <cellWatch r="G60162"/>
    <cellWatch r="G60163"/>
    <cellWatch r="G60164"/>
    <cellWatch r="G60165"/>
    <cellWatch r="G60166"/>
    <cellWatch r="G60167"/>
    <cellWatch r="G60168"/>
    <cellWatch r="G60169"/>
    <cellWatch r="G60170"/>
    <cellWatch r="G60171"/>
    <cellWatch r="G60172"/>
    <cellWatch r="G60173"/>
    <cellWatch r="G60174"/>
    <cellWatch r="G60175"/>
    <cellWatch r="G60176"/>
    <cellWatch r="G60177"/>
    <cellWatch r="G60178"/>
    <cellWatch r="G60179"/>
    <cellWatch r="G60180"/>
    <cellWatch r="G60181"/>
    <cellWatch r="G60182"/>
    <cellWatch r="G60183"/>
    <cellWatch r="G60184"/>
    <cellWatch r="G60185"/>
    <cellWatch r="G60186"/>
    <cellWatch r="G60187"/>
    <cellWatch r="G60188"/>
    <cellWatch r="G60189"/>
    <cellWatch r="G60190"/>
    <cellWatch r="G60191"/>
    <cellWatch r="G60192"/>
    <cellWatch r="G60193"/>
    <cellWatch r="G60194"/>
    <cellWatch r="G60195"/>
    <cellWatch r="G60196"/>
    <cellWatch r="G60197"/>
    <cellWatch r="G60198"/>
    <cellWatch r="G60199"/>
    <cellWatch r="G60200"/>
    <cellWatch r="G60201"/>
    <cellWatch r="G60202"/>
    <cellWatch r="G60203"/>
    <cellWatch r="G60204"/>
    <cellWatch r="G60205"/>
    <cellWatch r="G60206"/>
    <cellWatch r="G60207"/>
    <cellWatch r="G60208"/>
    <cellWatch r="G60209"/>
    <cellWatch r="G60210"/>
    <cellWatch r="G60211"/>
    <cellWatch r="G60212"/>
    <cellWatch r="G60213"/>
    <cellWatch r="G60214"/>
    <cellWatch r="G60215"/>
    <cellWatch r="G60216"/>
    <cellWatch r="G60217"/>
    <cellWatch r="G60218"/>
    <cellWatch r="G60219"/>
    <cellWatch r="G60220"/>
    <cellWatch r="G60221"/>
    <cellWatch r="G60222"/>
    <cellWatch r="G60223"/>
    <cellWatch r="G60224"/>
    <cellWatch r="G60225"/>
    <cellWatch r="G60226"/>
    <cellWatch r="G60227"/>
    <cellWatch r="G60228"/>
    <cellWatch r="G60229"/>
    <cellWatch r="G60230"/>
    <cellWatch r="G60231"/>
    <cellWatch r="G60232"/>
    <cellWatch r="G60233"/>
    <cellWatch r="G60234"/>
    <cellWatch r="G60235"/>
    <cellWatch r="G60236"/>
    <cellWatch r="G60237"/>
    <cellWatch r="G60238"/>
    <cellWatch r="G60239"/>
    <cellWatch r="G60240"/>
    <cellWatch r="G60241"/>
    <cellWatch r="G60242"/>
    <cellWatch r="G60243"/>
    <cellWatch r="G60244"/>
    <cellWatch r="G60245"/>
    <cellWatch r="G60246"/>
    <cellWatch r="G60247"/>
    <cellWatch r="G60248"/>
    <cellWatch r="G60249"/>
    <cellWatch r="G60250"/>
    <cellWatch r="G60251"/>
    <cellWatch r="G60252"/>
    <cellWatch r="G60253"/>
    <cellWatch r="G60254"/>
    <cellWatch r="G60255"/>
    <cellWatch r="G60256"/>
    <cellWatch r="G60257"/>
    <cellWatch r="G60258"/>
    <cellWatch r="G60259"/>
    <cellWatch r="G60260"/>
    <cellWatch r="G60261"/>
    <cellWatch r="G60262"/>
    <cellWatch r="G60263"/>
    <cellWatch r="G60264"/>
    <cellWatch r="G60265"/>
    <cellWatch r="G60266"/>
    <cellWatch r="G60267"/>
    <cellWatch r="G60268"/>
    <cellWatch r="G60269"/>
    <cellWatch r="G60270"/>
    <cellWatch r="G60271"/>
    <cellWatch r="G60272"/>
    <cellWatch r="G60273"/>
    <cellWatch r="G60274"/>
    <cellWatch r="G60275"/>
    <cellWatch r="G60276"/>
    <cellWatch r="G60277"/>
    <cellWatch r="G60278"/>
    <cellWatch r="G60279"/>
    <cellWatch r="G60280"/>
    <cellWatch r="G60281"/>
    <cellWatch r="G60282"/>
    <cellWatch r="G60283"/>
    <cellWatch r="G60284"/>
    <cellWatch r="G60285"/>
    <cellWatch r="G60286"/>
    <cellWatch r="G60287"/>
    <cellWatch r="G60288"/>
    <cellWatch r="G60289"/>
    <cellWatch r="G60290"/>
    <cellWatch r="G60291"/>
    <cellWatch r="G60292"/>
    <cellWatch r="G60293"/>
    <cellWatch r="G60294"/>
    <cellWatch r="G60295"/>
    <cellWatch r="G60296"/>
    <cellWatch r="G60297"/>
    <cellWatch r="G60298"/>
    <cellWatch r="G60299"/>
    <cellWatch r="G60300"/>
    <cellWatch r="G60301"/>
    <cellWatch r="G60302"/>
    <cellWatch r="G60303"/>
    <cellWatch r="G60304"/>
    <cellWatch r="G60305"/>
    <cellWatch r="G60306"/>
    <cellWatch r="G60307"/>
    <cellWatch r="G60308"/>
    <cellWatch r="G60309"/>
    <cellWatch r="G60310"/>
    <cellWatch r="G60311"/>
    <cellWatch r="G60312"/>
    <cellWatch r="G60313"/>
    <cellWatch r="G60314"/>
    <cellWatch r="G60315"/>
    <cellWatch r="G60316"/>
    <cellWatch r="G60317"/>
    <cellWatch r="G60318"/>
    <cellWatch r="G60319"/>
    <cellWatch r="G60320"/>
    <cellWatch r="G60321"/>
    <cellWatch r="G60322"/>
    <cellWatch r="G60323"/>
    <cellWatch r="G60324"/>
    <cellWatch r="G60325"/>
    <cellWatch r="G60326"/>
    <cellWatch r="G60327"/>
    <cellWatch r="G60328"/>
    <cellWatch r="G60329"/>
    <cellWatch r="G60330"/>
    <cellWatch r="G60331"/>
    <cellWatch r="G60332"/>
    <cellWatch r="G60333"/>
    <cellWatch r="G60334"/>
    <cellWatch r="G60335"/>
    <cellWatch r="G60336"/>
    <cellWatch r="G60337"/>
    <cellWatch r="G60338"/>
    <cellWatch r="G60339"/>
    <cellWatch r="G60340"/>
    <cellWatch r="G60341"/>
    <cellWatch r="G60342"/>
    <cellWatch r="G60343"/>
    <cellWatch r="G60344"/>
    <cellWatch r="G60345"/>
    <cellWatch r="G60346"/>
    <cellWatch r="G60347"/>
    <cellWatch r="G60348"/>
    <cellWatch r="G60349"/>
    <cellWatch r="G60350"/>
    <cellWatch r="G60351"/>
    <cellWatch r="G60352"/>
    <cellWatch r="G60353"/>
    <cellWatch r="G60354"/>
    <cellWatch r="G60355"/>
    <cellWatch r="G60356"/>
    <cellWatch r="G60357"/>
    <cellWatch r="G60358"/>
    <cellWatch r="G60359"/>
    <cellWatch r="G60360"/>
    <cellWatch r="G60361"/>
    <cellWatch r="G60362"/>
    <cellWatch r="G60363"/>
    <cellWatch r="G60364"/>
    <cellWatch r="G60365"/>
    <cellWatch r="G60366"/>
    <cellWatch r="G60367"/>
    <cellWatch r="G60368"/>
    <cellWatch r="G60369"/>
    <cellWatch r="G60370"/>
    <cellWatch r="G60371"/>
    <cellWatch r="G60372"/>
    <cellWatch r="G60373"/>
    <cellWatch r="G60374"/>
    <cellWatch r="G60375"/>
    <cellWatch r="G60376"/>
    <cellWatch r="G60377"/>
    <cellWatch r="G60378"/>
    <cellWatch r="G60379"/>
    <cellWatch r="G60380"/>
    <cellWatch r="G60381"/>
    <cellWatch r="G60382"/>
    <cellWatch r="G60383"/>
    <cellWatch r="G60384"/>
    <cellWatch r="G60385"/>
    <cellWatch r="G60386"/>
    <cellWatch r="G60387"/>
    <cellWatch r="G60388"/>
    <cellWatch r="G60389"/>
    <cellWatch r="G60390"/>
    <cellWatch r="G60391"/>
    <cellWatch r="G60392"/>
    <cellWatch r="G60393"/>
    <cellWatch r="G60394"/>
    <cellWatch r="G60395"/>
    <cellWatch r="G60396"/>
    <cellWatch r="G60397"/>
    <cellWatch r="G60398"/>
    <cellWatch r="G60399"/>
    <cellWatch r="G60400"/>
    <cellWatch r="G60401"/>
    <cellWatch r="G60402"/>
    <cellWatch r="G60403"/>
    <cellWatch r="G60404"/>
    <cellWatch r="G60405"/>
    <cellWatch r="G60406"/>
    <cellWatch r="G60407"/>
    <cellWatch r="G60408"/>
    <cellWatch r="G60409"/>
    <cellWatch r="G60410"/>
    <cellWatch r="G60411"/>
    <cellWatch r="G60412"/>
    <cellWatch r="G60413"/>
    <cellWatch r="G60414"/>
    <cellWatch r="G60415"/>
    <cellWatch r="G60416"/>
    <cellWatch r="G60417"/>
    <cellWatch r="G60418"/>
    <cellWatch r="G60419"/>
    <cellWatch r="G60420"/>
    <cellWatch r="G60421"/>
    <cellWatch r="G60422"/>
    <cellWatch r="G60423"/>
    <cellWatch r="G60424"/>
    <cellWatch r="G60425"/>
    <cellWatch r="G60426"/>
    <cellWatch r="G60427"/>
    <cellWatch r="G60428"/>
    <cellWatch r="G60429"/>
    <cellWatch r="G60430"/>
    <cellWatch r="G60431"/>
    <cellWatch r="G60432"/>
    <cellWatch r="G60433"/>
    <cellWatch r="G60434"/>
    <cellWatch r="G60435"/>
    <cellWatch r="G60436"/>
    <cellWatch r="G60437"/>
    <cellWatch r="G60438"/>
    <cellWatch r="G60439"/>
    <cellWatch r="G60440"/>
    <cellWatch r="G60441"/>
    <cellWatch r="G60442"/>
    <cellWatch r="G60443"/>
    <cellWatch r="G60444"/>
    <cellWatch r="G60445"/>
    <cellWatch r="G60446"/>
    <cellWatch r="G60447"/>
    <cellWatch r="G60448"/>
    <cellWatch r="G60449"/>
    <cellWatch r="G60450"/>
    <cellWatch r="G60451"/>
    <cellWatch r="G60452"/>
    <cellWatch r="G60453"/>
    <cellWatch r="G60454"/>
    <cellWatch r="G60455"/>
    <cellWatch r="G60456"/>
    <cellWatch r="G60457"/>
    <cellWatch r="G60458"/>
    <cellWatch r="G60459"/>
    <cellWatch r="G60460"/>
    <cellWatch r="G60461"/>
    <cellWatch r="G60462"/>
    <cellWatch r="G60463"/>
    <cellWatch r="G60464"/>
    <cellWatch r="G60465"/>
    <cellWatch r="G60466"/>
    <cellWatch r="G60467"/>
    <cellWatch r="G60468"/>
    <cellWatch r="G60469"/>
    <cellWatch r="G60470"/>
    <cellWatch r="G60471"/>
    <cellWatch r="G60472"/>
    <cellWatch r="G60473"/>
    <cellWatch r="G60474"/>
    <cellWatch r="G60475"/>
    <cellWatch r="G60476"/>
    <cellWatch r="G60477"/>
    <cellWatch r="G60478"/>
    <cellWatch r="G60479"/>
    <cellWatch r="G60480"/>
    <cellWatch r="G60481"/>
    <cellWatch r="G60482"/>
    <cellWatch r="G60483"/>
    <cellWatch r="G60484"/>
    <cellWatch r="G60485"/>
    <cellWatch r="G60486"/>
    <cellWatch r="G60487"/>
    <cellWatch r="G60488"/>
    <cellWatch r="G60489"/>
    <cellWatch r="G60490"/>
    <cellWatch r="G60491"/>
    <cellWatch r="G60492"/>
    <cellWatch r="G60493"/>
    <cellWatch r="G60494"/>
    <cellWatch r="G60495"/>
    <cellWatch r="G60496"/>
    <cellWatch r="G60497"/>
    <cellWatch r="G60498"/>
    <cellWatch r="G60499"/>
    <cellWatch r="G60500"/>
    <cellWatch r="G60501"/>
    <cellWatch r="G60502"/>
    <cellWatch r="G60503"/>
    <cellWatch r="G60504"/>
    <cellWatch r="G60505"/>
    <cellWatch r="G60506"/>
    <cellWatch r="G60507"/>
    <cellWatch r="G60508"/>
    <cellWatch r="G60509"/>
    <cellWatch r="G60510"/>
    <cellWatch r="G60511"/>
    <cellWatch r="G60512"/>
    <cellWatch r="G60513"/>
    <cellWatch r="G60514"/>
    <cellWatch r="G60515"/>
    <cellWatch r="G60516"/>
    <cellWatch r="G60517"/>
    <cellWatch r="G60518"/>
    <cellWatch r="G60519"/>
    <cellWatch r="G60520"/>
    <cellWatch r="G60521"/>
    <cellWatch r="G60522"/>
    <cellWatch r="G60523"/>
    <cellWatch r="G60524"/>
    <cellWatch r="G60525"/>
    <cellWatch r="G60526"/>
    <cellWatch r="G60527"/>
    <cellWatch r="G60528"/>
    <cellWatch r="G60529"/>
    <cellWatch r="G60530"/>
    <cellWatch r="G60531"/>
    <cellWatch r="G60532"/>
    <cellWatch r="G60533"/>
    <cellWatch r="G60534"/>
    <cellWatch r="G60535"/>
    <cellWatch r="G60536"/>
    <cellWatch r="G60537"/>
    <cellWatch r="G60538"/>
    <cellWatch r="G60539"/>
    <cellWatch r="G60540"/>
    <cellWatch r="G60541"/>
    <cellWatch r="G60542"/>
    <cellWatch r="G60543"/>
    <cellWatch r="G60544"/>
    <cellWatch r="G60545"/>
    <cellWatch r="G60546"/>
    <cellWatch r="G60547"/>
    <cellWatch r="G60548"/>
    <cellWatch r="G60549"/>
    <cellWatch r="G60550"/>
    <cellWatch r="G60551"/>
    <cellWatch r="G60552"/>
    <cellWatch r="G60553"/>
    <cellWatch r="G60554"/>
    <cellWatch r="G60555"/>
    <cellWatch r="G60556"/>
    <cellWatch r="G60557"/>
    <cellWatch r="G60558"/>
    <cellWatch r="G60559"/>
    <cellWatch r="G60560"/>
    <cellWatch r="G60561"/>
    <cellWatch r="G60562"/>
    <cellWatch r="G60563"/>
    <cellWatch r="G60564"/>
    <cellWatch r="G60565"/>
    <cellWatch r="G60566"/>
    <cellWatch r="G60567"/>
    <cellWatch r="G60568"/>
    <cellWatch r="G60569"/>
    <cellWatch r="G60570"/>
    <cellWatch r="G60571"/>
    <cellWatch r="G60572"/>
    <cellWatch r="G60573"/>
    <cellWatch r="G60574"/>
    <cellWatch r="G60575"/>
    <cellWatch r="G60576"/>
    <cellWatch r="G60577"/>
    <cellWatch r="G60578"/>
    <cellWatch r="G60579"/>
    <cellWatch r="G60580"/>
    <cellWatch r="G60581"/>
    <cellWatch r="G60582"/>
    <cellWatch r="G60583"/>
    <cellWatch r="G60584"/>
    <cellWatch r="G60585"/>
    <cellWatch r="G60586"/>
    <cellWatch r="G60587"/>
    <cellWatch r="G60588"/>
    <cellWatch r="G60589"/>
    <cellWatch r="G60590"/>
    <cellWatch r="G60591"/>
    <cellWatch r="G60592"/>
    <cellWatch r="G60593"/>
    <cellWatch r="G60594"/>
    <cellWatch r="G60595"/>
    <cellWatch r="G60596"/>
    <cellWatch r="G60597"/>
    <cellWatch r="G60598"/>
    <cellWatch r="G60599"/>
    <cellWatch r="G60600"/>
    <cellWatch r="G60601"/>
    <cellWatch r="G60602"/>
    <cellWatch r="G60603"/>
    <cellWatch r="G60604"/>
    <cellWatch r="G60605"/>
    <cellWatch r="G60606"/>
    <cellWatch r="G60607"/>
    <cellWatch r="G60608"/>
    <cellWatch r="G60609"/>
    <cellWatch r="G60610"/>
    <cellWatch r="G60611"/>
    <cellWatch r="G60612"/>
    <cellWatch r="G60613"/>
    <cellWatch r="G60614"/>
    <cellWatch r="G60615"/>
    <cellWatch r="G60616"/>
    <cellWatch r="G60617"/>
    <cellWatch r="G60618"/>
    <cellWatch r="G60619"/>
    <cellWatch r="G60620"/>
    <cellWatch r="G60621"/>
    <cellWatch r="G60622"/>
    <cellWatch r="G60623"/>
    <cellWatch r="G60624"/>
    <cellWatch r="G60625"/>
    <cellWatch r="G60626"/>
    <cellWatch r="G60627"/>
    <cellWatch r="G60628"/>
    <cellWatch r="G60629"/>
    <cellWatch r="G60630"/>
    <cellWatch r="G60631"/>
    <cellWatch r="G60632"/>
    <cellWatch r="G60633"/>
    <cellWatch r="G60634"/>
    <cellWatch r="G60635"/>
    <cellWatch r="G60636"/>
    <cellWatch r="G60637"/>
    <cellWatch r="G60638"/>
    <cellWatch r="G60639"/>
    <cellWatch r="G60640"/>
    <cellWatch r="G60641"/>
    <cellWatch r="G60642"/>
    <cellWatch r="G60643"/>
    <cellWatch r="G60644"/>
    <cellWatch r="G60645"/>
    <cellWatch r="G60646"/>
    <cellWatch r="G60647"/>
    <cellWatch r="G60648"/>
    <cellWatch r="G60649"/>
    <cellWatch r="G60650"/>
    <cellWatch r="G60651"/>
    <cellWatch r="G60652"/>
    <cellWatch r="G60653"/>
    <cellWatch r="G60654"/>
    <cellWatch r="G60655"/>
    <cellWatch r="G60656"/>
    <cellWatch r="G60657"/>
    <cellWatch r="G60658"/>
    <cellWatch r="G60659"/>
    <cellWatch r="G60660"/>
    <cellWatch r="G60661"/>
    <cellWatch r="G60662"/>
    <cellWatch r="G60663"/>
    <cellWatch r="G60664"/>
    <cellWatch r="G60665"/>
    <cellWatch r="G60666"/>
    <cellWatch r="G60667"/>
    <cellWatch r="G60668"/>
    <cellWatch r="G60669"/>
    <cellWatch r="G60670"/>
    <cellWatch r="G60671"/>
    <cellWatch r="G60672"/>
    <cellWatch r="G60673"/>
    <cellWatch r="G60674"/>
    <cellWatch r="G60675"/>
    <cellWatch r="G60676"/>
    <cellWatch r="G60677"/>
    <cellWatch r="G60678"/>
    <cellWatch r="G60679"/>
    <cellWatch r="G60680"/>
    <cellWatch r="G60681"/>
    <cellWatch r="G60682"/>
    <cellWatch r="G60683"/>
    <cellWatch r="G60684"/>
    <cellWatch r="G60685"/>
    <cellWatch r="G60686"/>
    <cellWatch r="G60687"/>
    <cellWatch r="G60688"/>
    <cellWatch r="G60689"/>
    <cellWatch r="G60690"/>
    <cellWatch r="G60691"/>
    <cellWatch r="G60692"/>
    <cellWatch r="G60693"/>
    <cellWatch r="G60694"/>
    <cellWatch r="G60695"/>
    <cellWatch r="G60696"/>
    <cellWatch r="G60697"/>
    <cellWatch r="G60698"/>
    <cellWatch r="G60699"/>
    <cellWatch r="G60700"/>
    <cellWatch r="G60701"/>
    <cellWatch r="G60702"/>
    <cellWatch r="G60703"/>
    <cellWatch r="G60704"/>
    <cellWatch r="G60705"/>
    <cellWatch r="G60706"/>
    <cellWatch r="G60707"/>
    <cellWatch r="G60708"/>
    <cellWatch r="G60709"/>
    <cellWatch r="G60710"/>
    <cellWatch r="G60711"/>
    <cellWatch r="G60712"/>
    <cellWatch r="G60713"/>
    <cellWatch r="G60714"/>
    <cellWatch r="G60715"/>
    <cellWatch r="G60716"/>
    <cellWatch r="G60717"/>
    <cellWatch r="G60718"/>
    <cellWatch r="G60719"/>
    <cellWatch r="G60720"/>
    <cellWatch r="G60721"/>
    <cellWatch r="G60722"/>
    <cellWatch r="G60723"/>
    <cellWatch r="G60724"/>
    <cellWatch r="G60725"/>
    <cellWatch r="G60726"/>
    <cellWatch r="G60727"/>
    <cellWatch r="G60728"/>
    <cellWatch r="G60729"/>
    <cellWatch r="G60730"/>
    <cellWatch r="G60731"/>
    <cellWatch r="G60732"/>
    <cellWatch r="G60733"/>
    <cellWatch r="G60734"/>
    <cellWatch r="G60735"/>
    <cellWatch r="G60736"/>
    <cellWatch r="G60737"/>
    <cellWatch r="G60738"/>
    <cellWatch r="G60739"/>
    <cellWatch r="G60740"/>
    <cellWatch r="G60741"/>
    <cellWatch r="G60742"/>
    <cellWatch r="G60743"/>
    <cellWatch r="G60744"/>
    <cellWatch r="G60745"/>
    <cellWatch r="G60746"/>
    <cellWatch r="G60747"/>
    <cellWatch r="G60748"/>
    <cellWatch r="G60749"/>
    <cellWatch r="G60750"/>
    <cellWatch r="G60751"/>
    <cellWatch r="G60752"/>
    <cellWatch r="G60753"/>
    <cellWatch r="G60754"/>
    <cellWatch r="G60755"/>
    <cellWatch r="G60756"/>
    <cellWatch r="G60757"/>
    <cellWatch r="G60758"/>
    <cellWatch r="G60759"/>
    <cellWatch r="G60760"/>
    <cellWatch r="G60761"/>
    <cellWatch r="G60762"/>
    <cellWatch r="G60763"/>
    <cellWatch r="G60764"/>
    <cellWatch r="G60765"/>
    <cellWatch r="G60766"/>
    <cellWatch r="G60767"/>
    <cellWatch r="G60768"/>
    <cellWatch r="G60769"/>
    <cellWatch r="G60770"/>
    <cellWatch r="G60771"/>
    <cellWatch r="G60772"/>
    <cellWatch r="G60773"/>
    <cellWatch r="G60774"/>
    <cellWatch r="G60775"/>
    <cellWatch r="G60776"/>
    <cellWatch r="G60777"/>
    <cellWatch r="G60778"/>
    <cellWatch r="G60779"/>
    <cellWatch r="G60780"/>
    <cellWatch r="G60781"/>
    <cellWatch r="G60782"/>
    <cellWatch r="G60783"/>
    <cellWatch r="G60784"/>
    <cellWatch r="G60785"/>
    <cellWatch r="G60786"/>
    <cellWatch r="G60787"/>
    <cellWatch r="G60788"/>
    <cellWatch r="G60789"/>
    <cellWatch r="G60790"/>
    <cellWatch r="G60791"/>
    <cellWatch r="G60792"/>
    <cellWatch r="G60793"/>
    <cellWatch r="G60794"/>
    <cellWatch r="G60795"/>
    <cellWatch r="G60796"/>
    <cellWatch r="G60797"/>
    <cellWatch r="G60798"/>
    <cellWatch r="G60799"/>
    <cellWatch r="G60800"/>
    <cellWatch r="G60801"/>
    <cellWatch r="G60802"/>
    <cellWatch r="G60803"/>
    <cellWatch r="G60804"/>
    <cellWatch r="G60805"/>
    <cellWatch r="G60806"/>
    <cellWatch r="G60807"/>
    <cellWatch r="G60808"/>
    <cellWatch r="G60809"/>
    <cellWatch r="G60810"/>
    <cellWatch r="G60811"/>
    <cellWatch r="G60812"/>
    <cellWatch r="G60813"/>
    <cellWatch r="G60814"/>
    <cellWatch r="G60815"/>
    <cellWatch r="G60816"/>
    <cellWatch r="G60817"/>
    <cellWatch r="G60818"/>
    <cellWatch r="G60819"/>
    <cellWatch r="G60820"/>
    <cellWatch r="G60821"/>
    <cellWatch r="G60822"/>
    <cellWatch r="G60823"/>
    <cellWatch r="G60824"/>
    <cellWatch r="G60825"/>
    <cellWatch r="G60826"/>
    <cellWatch r="G60827"/>
    <cellWatch r="G60828"/>
    <cellWatch r="G60829"/>
    <cellWatch r="G60830"/>
    <cellWatch r="G60831"/>
    <cellWatch r="G60832"/>
    <cellWatch r="G60833"/>
    <cellWatch r="G60834"/>
    <cellWatch r="G60835"/>
    <cellWatch r="G60836"/>
    <cellWatch r="G60837"/>
    <cellWatch r="G60838"/>
    <cellWatch r="G60839"/>
    <cellWatch r="G60840"/>
    <cellWatch r="G60841"/>
    <cellWatch r="G60842"/>
    <cellWatch r="G60843"/>
    <cellWatch r="G60844"/>
    <cellWatch r="G60845"/>
    <cellWatch r="G60846"/>
    <cellWatch r="G60847"/>
    <cellWatch r="G60848"/>
    <cellWatch r="G60849"/>
    <cellWatch r="G60850"/>
    <cellWatch r="G60851"/>
    <cellWatch r="G60852"/>
    <cellWatch r="G60853"/>
    <cellWatch r="G60854"/>
    <cellWatch r="G60855"/>
    <cellWatch r="G60856"/>
    <cellWatch r="G60857"/>
    <cellWatch r="G60858"/>
    <cellWatch r="G60859"/>
    <cellWatch r="G60860"/>
    <cellWatch r="G60861"/>
    <cellWatch r="G60862"/>
    <cellWatch r="G60863"/>
    <cellWatch r="G60864"/>
    <cellWatch r="G60865"/>
    <cellWatch r="G60866"/>
    <cellWatch r="G60867"/>
    <cellWatch r="G60868"/>
    <cellWatch r="G60869"/>
    <cellWatch r="G60870"/>
    <cellWatch r="G60871"/>
    <cellWatch r="G60872"/>
    <cellWatch r="G60873"/>
    <cellWatch r="G60874"/>
    <cellWatch r="G60875"/>
    <cellWatch r="G60876"/>
    <cellWatch r="G60877"/>
    <cellWatch r="G60878"/>
    <cellWatch r="G60879"/>
    <cellWatch r="G60880"/>
    <cellWatch r="G60881"/>
    <cellWatch r="G60882"/>
    <cellWatch r="G60883"/>
    <cellWatch r="G60884"/>
    <cellWatch r="G60885"/>
    <cellWatch r="G60886"/>
    <cellWatch r="G60887"/>
    <cellWatch r="G60888"/>
    <cellWatch r="G60889"/>
    <cellWatch r="G60890"/>
    <cellWatch r="G60891"/>
    <cellWatch r="G60892"/>
    <cellWatch r="G60893"/>
    <cellWatch r="G60894"/>
    <cellWatch r="G60895"/>
    <cellWatch r="G60896"/>
    <cellWatch r="G60897"/>
    <cellWatch r="G60898"/>
    <cellWatch r="G60899"/>
    <cellWatch r="G60900"/>
    <cellWatch r="G60901"/>
    <cellWatch r="G60902"/>
    <cellWatch r="G60903"/>
    <cellWatch r="G60904"/>
    <cellWatch r="G60905"/>
    <cellWatch r="G60906"/>
    <cellWatch r="G60907"/>
    <cellWatch r="G60908"/>
    <cellWatch r="G60909"/>
    <cellWatch r="G60910"/>
    <cellWatch r="G60911"/>
    <cellWatch r="G60912"/>
    <cellWatch r="G60913"/>
    <cellWatch r="G60914"/>
    <cellWatch r="G60915"/>
    <cellWatch r="G60916"/>
    <cellWatch r="G60917"/>
    <cellWatch r="G60918"/>
    <cellWatch r="G60919"/>
    <cellWatch r="G60920"/>
    <cellWatch r="G60921"/>
    <cellWatch r="G60922"/>
    <cellWatch r="G60923"/>
    <cellWatch r="G60924"/>
    <cellWatch r="G60925"/>
    <cellWatch r="G60926"/>
    <cellWatch r="G60927"/>
    <cellWatch r="G60928"/>
    <cellWatch r="G60929"/>
    <cellWatch r="G60930"/>
    <cellWatch r="G60931"/>
    <cellWatch r="G60932"/>
    <cellWatch r="G60933"/>
    <cellWatch r="G60934"/>
    <cellWatch r="G60935"/>
    <cellWatch r="G60936"/>
    <cellWatch r="G60937"/>
    <cellWatch r="G60938"/>
    <cellWatch r="G60939"/>
    <cellWatch r="G60940"/>
    <cellWatch r="G60941"/>
    <cellWatch r="G60942"/>
    <cellWatch r="G60943"/>
    <cellWatch r="G60944"/>
    <cellWatch r="G60945"/>
    <cellWatch r="G60946"/>
    <cellWatch r="G60947"/>
    <cellWatch r="G60948"/>
    <cellWatch r="G60949"/>
    <cellWatch r="G60950"/>
    <cellWatch r="G60951"/>
    <cellWatch r="G60952"/>
    <cellWatch r="G60953"/>
    <cellWatch r="G60954"/>
    <cellWatch r="G60955"/>
    <cellWatch r="G60956"/>
    <cellWatch r="G60957"/>
    <cellWatch r="G60958"/>
    <cellWatch r="G60959"/>
    <cellWatch r="G60960"/>
    <cellWatch r="G60961"/>
    <cellWatch r="G60962"/>
    <cellWatch r="G60963"/>
    <cellWatch r="G60964"/>
    <cellWatch r="G60965"/>
    <cellWatch r="G60966"/>
    <cellWatch r="G60967"/>
    <cellWatch r="G60968"/>
    <cellWatch r="G60969"/>
    <cellWatch r="G60970"/>
    <cellWatch r="G60971"/>
    <cellWatch r="G60972"/>
    <cellWatch r="G60973"/>
    <cellWatch r="G60974"/>
    <cellWatch r="G60975"/>
    <cellWatch r="G60976"/>
    <cellWatch r="G60977"/>
    <cellWatch r="G60978"/>
    <cellWatch r="G60979"/>
    <cellWatch r="G60980"/>
    <cellWatch r="G60981"/>
    <cellWatch r="G60982"/>
    <cellWatch r="G60983"/>
    <cellWatch r="G60984"/>
    <cellWatch r="G60985"/>
    <cellWatch r="G60986"/>
    <cellWatch r="G60987"/>
    <cellWatch r="G60988"/>
    <cellWatch r="G60989"/>
    <cellWatch r="G60990"/>
    <cellWatch r="G60991"/>
    <cellWatch r="G60992"/>
    <cellWatch r="G60993"/>
    <cellWatch r="G60994"/>
    <cellWatch r="G60995"/>
    <cellWatch r="G60996"/>
    <cellWatch r="G60997"/>
    <cellWatch r="G60998"/>
    <cellWatch r="G60999"/>
    <cellWatch r="G61000"/>
    <cellWatch r="G61001"/>
    <cellWatch r="G61002"/>
    <cellWatch r="G61003"/>
    <cellWatch r="G61004"/>
    <cellWatch r="G61005"/>
    <cellWatch r="G61006"/>
    <cellWatch r="G61007"/>
    <cellWatch r="G61008"/>
    <cellWatch r="G61009"/>
    <cellWatch r="G61010"/>
    <cellWatch r="G61011"/>
    <cellWatch r="G61012"/>
    <cellWatch r="G61013"/>
    <cellWatch r="G61014"/>
    <cellWatch r="G61015"/>
    <cellWatch r="G61016"/>
    <cellWatch r="G61017"/>
    <cellWatch r="G61018"/>
    <cellWatch r="G61019"/>
    <cellWatch r="G61020"/>
    <cellWatch r="G61021"/>
    <cellWatch r="G61022"/>
    <cellWatch r="G61023"/>
    <cellWatch r="G61024"/>
    <cellWatch r="G61025"/>
    <cellWatch r="G61026"/>
    <cellWatch r="G61027"/>
    <cellWatch r="G61028"/>
    <cellWatch r="G61029"/>
    <cellWatch r="G61030"/>
    <cellWatch r="G61031"/>
    <cellWatch r="G61032"/>
    <cellWatch r="G61033"/>
    <cellWatch r="G61034"/>
    <cellWatch r="G61035"/>
    <cellWatch r="G61036"/>
    <cellWatch r="G61037"/>
    <cellWatch r="G61038"/>
    <cellWatch r="G61039"/>
    <cellWatch r="G61040"/>
    <cellWatch r="G61041"/>
    <cellWatch r="G61042"/>
    <cellWatch r="G61043"/>
    <cellWatch r="G61044"/>
    <cellWatch r="G61045"/>
    <cellWatch r="G61046"/>
    <cellWatch r="G61047"/>
    <cellWatch r="G61048"/>
    <cellWatch r="G61049"/>
    <cellWatch r="G61050"/>
    <cellWatch r="G61051"/>
    <cellWatch r="G61052"/>
    <cellWatch r="G61053"/>
    <cellWatch r="G61054"/>
    <cellWatch r="G61055"/>
    <cellWatch r="G61056"/>
    <cellWatch r="G61057"/>
    <cellWatch r="G61058"/>
    <cellWatch r="G61059"/>
    <cellWatch r="G61060"/>
    <cellWatch r="G61061"/>
    <cellWatch r="G61062"/>
    <cellWatch r="G61063"/>
    <cellWatch r="G61064"/>
    <cellWatch r="G61065"/>
    <cellWatch r="G61066"/>
    <cellWatch r="G61067"/>
    <cellWatch r="G61068"/>
    <cellWatch r="G61069"/>
    <cellWatch r="G61070"/>
    <cellWatch r="G61071"/>
    <cellWatch r="G61072"/>
    <cellWatch r="G61073"/>
    <cellWatch r="G61074"/>
    <cellWatch r="G61075"/>
    <cellWatch r="G61076"/>
    <cellWatch r="G61077"/>
    <cellWatch r="G61078"/>
    <cellWatch r="G61079"/>
    <cellWatch r="G61080"/>
    <cellWatch r="G61081"/>
    <cellWatch r="G61082"/>
    <cellWatch r="G61083"/>
    <cellWatch r="G61084"/>
    <cellWatch r="G61085"/>
    <cellWatch r="G61086"/>
    <cellWatch r="G61087"/>
    <cellWatch r="G61088"/>
    <cellWatch r="G61089"/>
    <cellWatch r="G61090"/>
    <cellWatch r="G61091"/>
    <cellWatch r="G61092"/>
    <cellWatch r="G61093"/>
    <cellWatch r="G61094"/>
    <cellWatch r="G61095"/>
    <cellWatch r="G61096"/>
    <cellWatch r="G61097"/>
    <cellWatch r="G61098"/>
    <cellWatch r="G61099"/>
    <cellWatch r="G61100"/>
    <cellWatch r="G61101"/>
    <cellWatch r="G61102"/>
    <cellWatch r="G61103"/>
    <cellWatch r="G61104"/>
    <cellWatch r="G61105"/>
    <cellWatch r="G61106"/>
    <cellWatch r="G61107"/>
    <cellWatch r="G61108"/>
    <cellWatch r="G61109"/>
    <cellWatch r="G61110"/>
    <cellWatch r="G61111"/>
    <cellWatch r="G61112"/>
    <cellWatch r="G61113"/>
    <cellWatch r="G61114"/>
    <cellWatch r="G61115"/>
    <cellWatch r="G61116"/>
    <cellWatch r="G61117"/>
    <cellWatch r="G61118"/>
    <cellWatch r="G61119"/>
    <cellWatch r="G61120"/>
    <cellWatch r="G61121"/>
    <cellWatch r="G61122"/>
    <cellWatch r="G61123"/>
    <cellWatch r="G61124"/>
    <cellWatch r="G61125"/>
    <cellWatch r="G61126"/>
    <cellWatch r="G61127"/>
    <cellWatch r="G61128"/>
    <cellWatch r="G61129"/>
    <cellWatch r="G61130"/>
    <cellWatch r="G61131"/>
    <cellWatch r="G61132"/>
    <cellWatch r="G61133"/>
    <cellWatch r="G61134"/>
    <cellWatch r="G61135"/>
    <cellWatch r="G61136"/>
    <cellWatch r="G61137"/>
    <cellWatch r="G61138"/>
    <cellWatch r="G61139"/>
    <cellWatch r="G61140"/>
    <cellWatch r="G61141"/>
    <cellWatch r="G61142"/>
    <cellWatch r="G61143"/>
    <cellWatch r="G61144"/>
    <cellWatch r="G61145"/>
    <cellWatch r="G61146"/>
    <cellWatch r="G61147"/>
    <cellWatch r="G61148"/>
    <cellWatch r="G61149"/>
    <cellWatch r="G61150"/>
    <cellWatch r="G61151"/>
    <cellWatch r="G61152"/>
    <cellWatch r="G61153"/>
    <cellWatch r="G61154"/>
    <cellWatch r="G61155"/>
    <cellWatch r="G61156"/>
    <cellWatch r="G61157"/>
    <cellWatch r="G61158"/>
    <cellWatch r="G61159"/>
    <cellWatch r="G61160"/>
    <cellWatch r="G61161"/>
    <cellWatch r="G61162"/>
    <cellWatch r="G61163"/>
    <cellWatch r="G61164"/>
    <cellWatch r="G61165"/>
    <cellWatch r="G61166"/>
    <cellWatch r="G61167"/>
    <cellWatch r="G61168"/>
    <cellWatch r="G61169"/>
    <cellWatch r="G61170"/>
    <cellWatch r="G61171"/>
    <cellWatch r="G61172"/>
    <cellWatch r="G61173"/>
    <cellWatch r="G61174"/>
    <cellWatch r="G61175"/>
    <cellWatch r="G61176"/>
    <cellWatch r="G61177"/>
    <cellWatch r="G61178"/>
    <cellWatch r="G61179"/>
    <cellWatch r="G61180"/>
    <cellWatch r="G61181"/>
    <cellWatch r="G61182"/>
    <cellWatch r="G61183"/>
    <cellWatch r="G61184"/>
    <cellWatch r="G61185"/>
    <cellWatch r="G61186"/>
    <cellWatch r="G61187"/>
    <cellWatch r="G61188"/>
    <cellWatch r="G61189"/>
    <cellWatch r="G61190"/>
    <cellWatch r="G61191"/>
    <cellWatch r="G61192"/>
    <cellWatch r="G61193"/>
    <cellWatch r="G61194"/>
    <cellWatch r="G61195"/>
    <cellWatch r="G61196"/>
    <cellWatch r="G61197"/>
    <cellWatch r="G61198"/>
    <cellWatch r="G61199"/>
    <cellWatch r="G61200"/>
    <cellWatch r="G61201"/>
    <cellWatch r="G61202"/>
    <cellWatch r="G61203"/>
    <cellWatch r="G61204"/>
    <cellWatch r="G61205"/>
    <cellWatch r="G61206"/>
    <cellWatch r="G61207"/>
    <cellWatch r="G61208"/>
    <cellWatch r="G61209"/>
    <cellWatch r="G61210"/>
    <cellWatch r="G61211"/>
    <cellWatch r="G61212"/>
    <cellWatch r="G61213"/>
    <cellWatch r="G61214"/>
    <cellWatch r="G61215"/>
    <cellWatch r="G61216"/>
    <cellWatch r="G61217"/>
    <cellWatch r="G61218"/>
    <cellWatch r="G61219"/>
    <cellWatch r="G61220"/>
    <cellWatch r="G61221"/>
    <cellWatch r="G61222"/>
    <cellWatch r="G61223"/>
    <cellWatch r="G61224"/>
    <cellWatch r="G61225"/>
    <cellWatch r="G61226"/>
    <cellWatch r="G61227"/>
    <cellWatch r="G61228"/>
    <cellWatch r="G61229"/>
    <cellWatch r="G61230"/>
    <cellWatch r="G61231"/>
    <cellWatch r="G61232"/>
    <cellWatch r="G61233"/>
    <cellWatch r="G61234"/>
    <cellWatch r="G61235"/>
    <cellWatch r="G61236"/>
    <cellWatch r="G61237"/>
    <cellWatch r="G61238"/>
    <cellWatch r="G61239"/>
    <cellWatch r="G61240"/>
    <cellWatch r="G61241"/>
    <cellWatch r="G61242"/>
    <cellWatch r="G61243"/>
    <cellWatch r="G61244"/>
    <cellWatch r="G61245"/>
    <cellWatch r="G61246"/>
    <cellWatch r="G61247"/>
    <cellWatch r="G61248"/>
    <cellWatch r="G61249"/>
    <cellWatch r="G61250"/>
    <cellWatch r="G61251"/>
    <cellWatch r="G61252"/>
    <cellWatch r="G61253"/>
    <cellWatch r="G61254"/>
    <cellWatch r="G61255"/>
    <cellWatch r="G61256"/>
    <cellWatch r="G61257"/>
    <cellWatch r="G61258"/>
    <cellWatch r="G61259"/>
    <cellWatch r="G61260"/>
    <cellWatch r="G61261"/>
    <cellWatch r="G61262"/>
    <cellWatch r="G61263"/>
    <cellWatch r="G61264"/>
    <cellWatch r="G61265"/>
    <cellWatch r="G61266"/>
    <cellWatch r="G61267"/>
    <cellWatch r="G61268"/>
    <cellWatch r="G61269"/>
    <cellWatch r="G61270"/>
    <cellWatch r="G61271"/>
    <cellWatch r="G61272"/>
    <cellWatch r="G61273"/>
    <cellWatch r="G61274"/>
    <cellWatch r="G61275"/>
    <cellWatch r="G61276"/>
    <cellWatch r="G61277"/>
    <cellWatch r="G61278"/>
    <cellWatch r="G61279"/>
    <cellWatch r="G61280"/>
    <cellWatch r="G61281"/>
    <cellWatch r="G61282"/>
    <cellWatch r="G61283"/>
    <cellWatch r="G61284"/>
    <cellWatch r="G61285"/>
    <cellWatch r="G61286"/>
    <cellWatch r="G61287"/>
    <cellWatch r="G61288"/>
    <cellWatch r="G61289"/>
    <cellWatch r="G61290"/>
    <cellWatch r="G61291"/>
    <cellWatch r="G61292"/>
    <cellWatch r="G61293"/>
    <cellWatch r="G61294"/>
    <cellWatch r="G61295"/>
    <cellWatch r="G61296"/>
    <cellWatch r="G61297"/>
    <cellWatch r="G61298"/>
    <cellWatch r="G61299"/>
    <cellWatch r="G61300"/>
    <cellWatch r="G61301"/>
    <cellWatch r="G61302"/>
    <cellWatch r="G61303"/>
    <cellWatch r="G61304"/>
    <cellWatch r="G61305"/>
    <cellWatch r="G61306"/>
    <cellWatch r="G61307"/>
    <cellWatch r="G61308"/>
    <cellWatch r="G61309"/>
    <cellWatch r="G61310"/>
    <cellWatch r="G61311"/>
    <cellWatch r="G61312"/>
    <cellWatch r="G61313"/>
    <cellWatch r="G61314"/>
    <cellWatch r="G61315"/>
    <cellWatch r="G61316"/>
    <cellWatch r="G61317"/>
    <cellWatch r="G61318"/>
    <cellWatch r="G61319"/>
    <cellWatch r="G61320"/>
    <cellWatch r="G61321"/>
    <cellWatch r="G61322"/>
    <cellWatch r="G61323"/>
    <cellWatch r="G61324"/>
    <cellWatch r="G61325"/>
    <cellWatch r="G61326"/>
    <cellWatch r="G61327"/>
    <cellWatch r="G61328"/>
    <cellWatch r="G61329"/>
    <cellWatch r="G61330"/>
    <cellWatch r="G61331"/>
    <cellWatch r="G61332"/>
    <cellWatch r="G61333"/>
    <cellWatch r="G61334"/>
    <cellWatch r="G61335"/>
    <cellWatch r="G61336"/>
    <cellWatch r="G61337"/>
    <cellWatch r="G61338"/>
    <cellWatch r="G61339"/>
    <cellWatch r="G61340"/>
    <cellWatch r="G61341"/>
    <cellWatch r="G61342"/>
    <cellWatch r="G61343"/>
    <cellWatch r="G61344"/>
    <cellWatch r="G61345"/>
    <cellWatch r="G61346"/>
    <cellWatch r="G61347"/>
    <cellWatch r="G61348"/>
    <cellWatch r="G61349"/>
    <cellWatch r="G61350"/>
    <cellWatch r="G61351"/>
    <cellWatch r="G61352"/>
    <cellWatch r="G61353"/>
    <cellWatch r="G61354"/>
    <cellWatch r="G61355"/>
    <cellWatch r="G61356"/>
    <cellWatch r="G61357"/>
    <cellWatch r="G61358"/>
    <cellWatch r="G61359"/>
    <cellWatch r="G61360"/>
    <cellWatch r="G61361"/>
    <cellWatch r="G61362"/>
    <cellWatch r="G61363"/>
    <cellWatch r="G61364"/>
    <cellWatch r="G61365"/>
    <cellWatch r="G61366"/>
    <cellWatch r="G61367"/>
    <cellWatch r="G61368"/>
    <cellWatch r="G61369"/>
    <cellWatch r="G61370"/>
    <cellWatch r="G61371"/>
    <cellWatch r="G61372"/>
    <cellWatch r="G61373"/>
    <cellWatch r="G61374"/>
    <cellWatch r="G61375"/>
    <cellWatch r="G61376"/>
    <cellWatch r="G61377"/>
    <cellWatch r="G61378"/>
    <cellWatch r="G61379"/>
    <cellWatch r="G61380"/>
    <cellWatch r="G61381"/>
    <cellWatch r="G61382"/>
    <cellWatch r="G61383"/>
    <cellWatch r="G61384"/>
    <cellWatch r="G61385"/>
    <cellWatch r="G61386"/>
    <cellWatch r="G61387"/>
    <cellWatch r="G61388"/>
    <cellWatch r="G61389"/>
    <cellWatch r="G61390"/>
    <cellWatch r="G61391"/>
    <cellWatch r="G61392"/>
    <cellWatch r="G61393"/>
    <cellWatch r="G61394"/>
    <cellWatch r="G61395"/>
    <cellWatch r="G61396"/>
    <cellWatch r="G61397"/>
    <cellWatch r="G61398"/>
    <cellWatch r="G61399"/>
    <cellWatch r="G61400"/>
    <cellWatch r="G61401"/>
    <cellWatch r="G61402"/>
    <cellWatch r="G61403"/>
    <cellWatch r="G61404"/>
    <cellWatch r="G61405"/>
    <cellWatch r="G61406"/>
    <cellWatch r="G61407"/>
    <cellWatch r="G61408"/>
    <cellWatch r="G61409"/>
    <cellWatch r="G61410"/>
    <cellWatch r="G61411"/>
    <cellWatch r="G61412"/>
    <cellWatch r="G61413"/>
    <cellWatch r="G61414"/>
    <cellWatch r="G61415"/>
    <cellWatch r="G61416"/>
    <cellWatch r="G61417"/>
    <cellWatch r="G61418"/>
    <cellWatch r="G61419"/>
    <cellWatch r="G61420"/>
    <cellWatch r="G61421"/>
    <cellWatch r="G61422"/>
    <cellWatch r="G61423"/>
    <cellWatch r="G61424"/>
    <cellWatch r="G61425"/>
    <cellWatch r="G61426"/>
    <cellWatch r="G61427"/>
    <cellWatch r="G61428"/>
    <cellWatch r="G61429"/>
    <cellWatch r="G61430"/>
    <cellWatch r="G61431"/>
    <cellWatch r="G61432"/>
    <cellWatch r="G61433"/>
    <cellWatch r="G61434"/>
    <cellWatch r="G61435"/>
    <cellWatch r="G61436"/>
    <cellWatch r="G61437"/>
    <cellWatch r="G61438"/>
    <cellWatch r="G61439"/>
    <cellWatch r="G61440"/>
    <cellWatch r="G61441"/>
    <cellWatch r="G61442"/>
    <cellWatch r="G61443"/>
    <cellWatch r="G61444"/>
    <cellWatch r="G61445"/>
    <cellWatch r="G61446"/>
    <cellWatch r="G61447"/>
    <cellWatch r="G61448"/>
    <cellWatch r="G61449"/>
    <cellWatch r="G61450"/>
    <cellWatch r="G61451"/>
    <cellWatch r="G61452"/>
    <cellWatch r="G61453"/>
    <cellWatch r="G61454"/>
    <cellWatch r="G61455"/>
    <cellWatch r="G61456"/>
    <cellWatch r="G61457"/>
    <cellWatch r="G61458"/>
    <cellWatch r="G61459"/>
    <cellWatch r="G61460"/>
    <cellWatch r="G61461"/>
    <cellWatch r="G61462"/>
    <cellWatch r="G61463"/>
    <cellWatch r="G61464"/>
    <cellWatch r="G61465"/>
    <cellWatch r="G61466"/>
    <cellWatch r="G61467"/>
    <cellWatch r="G61468"/>
    <cellWatch r="G61469"/>
    <cellWatch r="G61470"/>
    <cellWatch r="G61471"/>
    <cellWatch r="G61472"/>
    <cellWatch r="G61473"/>
    <cellWatch r="G61474"/>
    <cellWatch r="G61475"/>
    <cellWatch r="G61476"/>
    <cellWatch r="G61477"/>
    <cellWatch r="G61478"/>
    <cellWatch r="G61479"/>
    <cellWatch r="G61480"/>
    <cellWatch r="G61481"/>
    <cellWatch r="G61482"/>
    <cellWatch r="G61483"/>
    <cellWatch r="G61484"/>
    <cellWatch r="G61485"/>
    <cellWatch r="G61486"/>
    <cellWatch r="G61487"/>
    <cellWatch r="G61488"/>
    <cellWatch r="G61489"/>
    <cellWatch r="G61490"/>
    <cellWatch r="G61491"/>
    <cellWatch r="G61492"/>
    <cellWatch r="G61493"/>
    <cellWatch r="G61494"/>
    <cellWatch r="G61495"/>
    <cellWatch r="G61496"/>
    <cellWatch r="G61497"/>
    <cellWatch r="G61498"/>
    <cellWatch r="G61499"/>
    <cellWatch r="G61500"/>
    <cellWatch r="G61501"/>
    <cellWatch r="G61502"/>
    <cellWatch r="G61503"/>
    <cellWatch r="G61504"/>
    <cellWatch r="G61505"/>
    <cellWatch r="G61506"/>
    <cellWatch r="G61507"/>
    <cellWatch r="G61508"/>
    <cellWatch r="G61509"/>
    <cellWatch r="G61510"/>
    <cellWatch r="G61511"/>
    <cellWatch r="G61512"/>
    <cellWatch r="G61513"/>
    <cellWatch r="G61514"/>
    <cellWatch r="G61515"/>
    <cellWatch r="G61516"/>
    <cellWatch r="G61517"/>
    <cellWatch r="G61518"/>
    <cellWatch r="G61519"/>
    <cellWatch r="G61520"/>
    <cellWatch r="G61521"/>
    <cellWatch r="G61522"/>
    <cellWatch r="G61523"/>
    <cellWatch r="G61524"/>
    <cellWatch r="G61525"/>
    <cellWatch r="G61526"/>
    <cellWatch r="G61527"/>
    <cellWatch r="G61528"/>
    <cellWatch r="G61529"/>
    <cellWatch r="G61530"/>
    <cellWatch r="G61531"/>
    <cellWatch r="G61532"/>
    <cellWatch r="G61533"/>
    <cellWatch r="G61534"/>
    <cellWatch r="G61535"/>
    <cellWatch r="G61536"/>
    <cellWatch r="G61537"/>
    <cellWatch r="G61538"/>
    <cellWatch r="G61539"/>
    <cellWatch r="G61540"/>
    <cellWatch r="G61541"/>
    <cellWatch r="G61542"/>
    <cellWatch r="G61543"/>
    <cellWatch r="G61544"/>
    <cellWatch r="G61545"/>
    <cellWatch r="G61546"/>
    <cellWatch r="G61547"/>
    <cellWatch r="G61548"/>
    <cellWatch r="G61549"/>
    <cellWatch r="G61550"/>
    <cellWatch r="G61551"/>
    <cellWatch r="G61552"/>
    <cellWatch r="G61553"/>
    <cellWatch r="G61554"/>
    <cellWatch r="G61555"/>
    <cellWatch r="G61556"/>
    <cellWatch r="G61557"/>
    <cellWatch r="G61558"/>
    <cellWatch r="G61559"/>
    <cellWatch r="G61560"/>
    <cellWatch r="G61561"/>
    <cellWatch r="G61562"/>
    <cellWatch r="G61563"/>
    <cellWatch r="G61564"/>
    <cellWatch r="G61565"/>
    <cellWatch r="G61566"/>
    <cellWatch r="G61567"/>
    <cellWatch r="G61568"/>
    <cellWatch r="G61569"/>
    <cellWatch r="G61570"/>
    <cellWatch r="G61571"/>
    <cellWatch r="G61572"/>
    <cellWatch r="G61573"/>
    <cellWatch r="G61574"/>
    <cellWatch r="G61575"/>
    <cellWatch r="G61576"/>
    <cellWatch r="G61577"/>
    <cellWatch r="G61578"/>
    <cellWatch r="G61579"/>
    <cellWatch r="G61580"/>
    <cellWatch r="G61581"/>
    <cellWatch r="G61582"/>
    <cellWatch r="G61583"/>
    <cellWatch r="G61584"/>
    <cellWatch r="G61585"/>
    <cellWatch r="G61586"/>
    <cellWatch r="G61587"/>
    <cellWatch r="G61588"/>
    <cellWatch r="G61589"/>
    <cellWatch r="G61590"/>
    <cellWatch r="G61591"/>
    <cellWatch r="G61592"/>
    <cellWatch r="G61593"/>
    <cellWatch r="G61594"/>
    <cellWatch r="G61595"/>
    <cellWatch r="G61596"/>
    <cellWatch r="G61597"/>
    <cellWatch r="G61598"/>
    <cellWatch r="G61599"/>
    <cellWatch r="G61600"/>
    <cellWatch r="G61601"/>
    <cellWatch r="G61602"/>
    <cellWatch r="G61603"/>
    <cellWatch r="G61604"/>
    <cellWatch r="G61605"/>
    <cellWatch r="G61606"/>
    <cellWatch r="G61607"/>
    <cellWatch r="G61608"/>
    <cellWatch r="G61609"/>
    <cellWatch r="G61610"/>
    <cellWatch r="G61611"/>
    <cellWatch r="G61612"/>
    <cellWatch r="G61613"/>
    <cellWatch r="G61614"/>
    <cellWatch r="G61615"/>
    <cellWatch r="G61616"/>
    <cellWatch r="G61617"/>
    <cellWatch r="G61618"/>
    <cellWatch r="G61619"/>
    <cellWatch r="G61620"/>
    <cellWatch r="G61621"/>
    <cellWatch r="G61622"/>
    <cellWatch r="G61623"/>
    <cellWatch r="G61624"/>
    <cellWatch r="G61625"/>
    <cellWatch r="G61626"/>
    <cellWatch r="G61627"/>
    <cellWatch r="G61628"/>
    <cellWatch r="G61629"/>
    <cellWatch r="G61630"/>
    <cellWatch r="G61631"/>
    <cellWatch r="G61632"/>
    <cellWatch r="G61633"/>
    <cellWatch r="G61634"/>
    <cellWatch r="G61635"/>
    <cellWatch r="G61636"/>
    <cellWatch r="G61637"/>
    <cellWatch r="G61638"/>
    <cellWatch r="G61639"/>
    <cellWatch r="G61640"/>
    <cellWatch r="G61641"/>
    <cellWatch r="G61642"/>
    <cellWatch r="G61643"/>
    <cellWatch r="G61644"/>
    <cellWatch r="G61645"/>
    <cellWatch r="G61646"/>
    <cellWatch r="G61647"/>
    <cellWatch r="G61648"/>
    <cellWatch r="G61649"/>
    <cellWatch r="G61650"/>
    <cellWatch r="G61651"/>
    <cellWatch r="G61652"/>
    <cellWatch r="G61653"/>
    <cellWatch r="G61654"/>
    <cellWatch r="G61655"/>
    <cellWatch r="G61656"/>
    <cellWatch r="G61657"/>
    <cellWatch r="G61658"/>
    <cellWatch r="G61659"/>
    <cellWatch r="G61660"/>
    <cellWatch r="G61661"/>
    <cellWatch r="G61662"/>
    <cellWatch r="G61663"/>
    <cellWatch r="G61664"/>
    <cellWatch r="G61665"/>
    <cellWatch r="G61666"/>
    <cellWatch r="G61667"/>
    <cellWatch r="G61668"/>
    <cellWatch r="G61669"/>
    <cellWatch r="G61670"/>
    <cellWatch r="G61671"/>
    <cellWatch r="G61672"/>
    <cellWatch r="G61673"/>
    <cellWatch r="G61674"/>
    <cellWatch r="G61675"/>
    <cellWatch r="G61676"/>
    <cellWatch r="G61677"/>
    <cellWatch r="G61678"/>
    <cellWatch r="G61679"/>
    <cellWatch r="G61680"/>
    <cellWatch r="G61681"/>
    <cellWatch r="G61682"/>
    <cellWatch r="G61683"/>
    <cellWatch r="G61684"/>
    <cellWatch r="G61685"/>
    <cellWatch r="G61686"/>
    <cellWatch r="G61687"/>
    <cellWatch r="G61688"/>
    <cellWatch r="G61689"/>
    <cellWatch r="G61690"/>
    <cellWatch r="G61691"/>
    <cellWatch r="G61692"/>
    <cellWatch r="G61693"/>
    <cellWatch r="G61694"/>
    <cellWatch r="G61695"/>
    <cellWatch r="G61696"/>
    <cellWatch r="G61697"/>
    <cellWatch r="G61698"/>
    <cellWatch r="G61699"/>
    <cellWatch r="G61700"/>
    <cellWatch r="G61701"/>
    <cellWatch r="G61702"/>
    <cellWatch r="G61703"/>
    <cellWatch r="G61704"/>
    <cellWatch r="G61705"/>
    <cellWatch r="G61706"/>
    <cellWatch r="G61707"/>
    <cellWatch r="G61708"/>
    <cellWatch r="G61709"/>
    <cellWatch r="G61710"/>
    <cellWatch r="G61711"/>
    <cellWatch r="G61712"/>
    <cellWatch r="G61713"/>
    <cellWatch r="G61714"/>
    <cellWatch r="G61715"/>
    <cellWatch r="G61716"/>
    <cellWatch r="G61717"/>
    <cellWatch r="G61718"/>
    <cellWatch r="G61719"/>
    <cellWatch r="G61720"/>
    <cellWatch r="G61721"/>
    <cellWatch r="G61722"/>
    <cellWatch r="G61723"/>
    <cellWatch r="G61724"/>
    <cellWatch r="G61725"/>
    <cellWatch r="G61726"/>
    <cellWatch r="G61727"/>
    <cellWatch r="G61728"/>
    <cellWatch r="G61729"/>
    <cellWatch r="G61730"/>
    <cellWatch r="G61731"/>
    <cellWatch r="G61732"/>
    <cellWatch r="G61733"/>
    <cellWatch r="G61734"/>
    <cellWatch r="G61735"/>
    <cellWatch r="G61736"/>
    <cellWatch r="G61737"/>
    <cellWatch r="G61738"/>
    <cellWatch r="G61739"/>
    <cellWatch r="G61740"/>
    <cellWatch r="G61741"/>
    <cellWatch r="G61742"/>
    <cellWatch r="G61743"/>
    <cellWatch r="G61744"/>
    <cellWatch r="G61745"/>
    <cellWatch r="G61746"/>
    <cellWatch r="G61747"/>
    <cellWatch r="G61748"/>
    <cellWatch r="G61749"/>
    <cellWatch r="G61750"/>
    <cellWatch r="G61751"/>
    <cellWatch r="G61752"/>
    <cellWatch r="G61753"/>
    <cellWatch r="G61754"/>
    <cellWatch r="G61755"/>
    <cellWatch r="G61756"/>
    <cellWatch r="G61757"/>
    <cellWatch r="G61758"/>
    <cellWatch r="G61759"/>
    <cellWatch r="G61760"/>
    <cellWatch r="G61761"/>
    <cellWatch r="G61762"/>
    <cellWatch r="G61763"/>
    <cellWatch r="G61764"/>
    <cellWatch r="G61765"/>
    <cellWatch r="G61766"/>
    <cellWatch r="G61767"/>
    <cellWatch r="G61768"/>
    <cellWatch r="G61769"/>
    <cellWatch r="G61770"/>
    <cellWatch r="G61771"/>
    <cellWatch r="G61772"/>
    <cellWatch r="G61773"/>
    <cellWatch r="G61774"/>
    <cellWatch r="G61775"/>
    <cellWatch r="G61776"/>
    <cellWatch r="G61777"/>
    <cellWatch r="G61778"/>
    <cellWatch r="G61779"/>
    <cellWatch r="G61780"/>
    <cellWatch r="G61781"/>
    <cellWatch r="G61782"/>
    <cellWatch r="G61783"/>
    <cellWatch r="G61784"/>
    <cellWatch r="G61785"/>
    <cellWatch r="G61786"/>
    <cellWatch r="G61787"/>
    <cellWatch r="G61788"/>
    <cellWatch r="G61789"/>
    <cellWatch r="G61790"/>
    <cellWatch r="G61791"/>
    <cellWatch r="G61792"/>
    <cellWatch r="G61793"/>
    <cellWatch r="G61794"/>
    <cellWatch r="G61795"/>
    <cellWatch r="G61796"/>
    <cellWatch r="G61797"/>
    <cellWatch r="G61798"/>
    <cellWatch r="G61799"/>
    <cellWatch r="G61800"/>
    <cellWatch r="G61801"/>
    <cellWatch r="G61802"/>
    <cellWatch r="G61803"/>
    <cellWatch r="G61804"/>
    <cellWatch r="G61805"/>
    <cellWatch r="G61806"/>
    <cellWatch r="G61807"/>
    <cellWatch r="G61808"/>
    <cellWatch r="G61809"/>
    <cellWatch r="G61810"/>
    <cellWatch r="G61811"/>
    <cellWatch r="G61812"/>
    <cellWatch r="G61813"/>
    <cellWatch r="G61814"/>
    <cellWatch r="G61815"/>
    <cellWatch r="G61816"/>
    <cellWatch r="G61817"/>
    <cellWatch r="G61818"/>
    <cellWatch r="G61819"/>
    <cellWatch r="G61820"/>
    <cellWatch r="G61821"/>
    <cellWatch r="G61822"/>
    <cellWatch r="G61823"/>
    <cellWatch r="G61824"/>
    <cellWatch r="G61825"/>
    <cellWatch r="G61826"/>
    <cellWatch r="G61827"/>
    <cellWatch r="G61828"/>
    <cellWatch r="G61829"/>
    <cellWatch r="G61830"/>
    <cellWatch r="G61831"/>
    <cellWatch r="G61832"/>
    <cellWatch r="G61833"/>
    <cellWatch r="G61834"/>
    <cellWatch r="G61835"/>
    <cellWatch r="G61836"/>
    <cellWatch r="G61837"/>
    <cellWatch r="G61838"/>
    <cellWatch r="G61839"/>
    <cellWatch r="G61840"/>
    <cellWatch r="G61841"/>
    <cellWatch r="G61842"/>
    <cellWatch r="G61843"/>
    <cellWatch r="G61844"/>
    <cellWatch r="G61845"/>
    <cellWatch r="G61846"/>
    <cellWatch r="G61847"/>
    <cellWatch r="G61848"/>
    <cellWatch r="G61849"/>
    <cellWatch r="G61850"/>
    <cellWatch r="G61851"/>
    <cellWatch r="G61852"/>
    <cellWatch r="G61853"/>
    <cellWatch r="G61854"/>
    <cellWatch r="G61855"/>
    <cellWatch r="G61856"/>
    <cellWatch r="G61857"/>
    <cellWatch r="G61858"/>
    <cellWatch r="G61859"/>
    <cellWatch r="G61860"/>
    <cellWatch r="G61861"/>
    <cellWatch r="G61862"/>
    <cellWatch r="G61863"/>
    <cellWatch r="G61864"/>
    <cellWatch r="G61865"/>
    <cellWatch r="G61866"/>
    <cellWatch r="G61867"/>
    <cellWatch r="G61868"/>
    <cellWatch r="G61869"/>
    <cellWatch r="G61870"/>
    <cellWatch r="G61871"/>
    <cellWatch r="G61872"/>
    <cellWatch r="G61873"/>
    <cellWatch r="G61874"/>
    <cellWatch r="G61875"/>
    <cellWatch r="G61876"/>
    <cellWatch r="G61877"/>
    <cellWatch r="G61878"/>
    <cellWatch r="G61879"/>
    <cellWatch r="G61880"/>
    <cellWatch r="G61881"/>
    <cellWatch r="G61882"/>
    <cellWatch r="G61883"/>
    <cellWatch r="G61884"/>
    <cellWatch r="G61885"/>
    <cellWatch r="G61886"/>
    <cellWatch r="G61887"/>
    <cellWatch r="G61888"/>
    <cellWatch r="G61889"/>
    <cellWatch r="G61890"/>
    <cellWatch r="G61891"/>
    <cellWatch r="G61892"/>
    <cellWatch r="G61893"/>
    <cellWatch r="G61894"/>
    <cellWatch r="G61895"/>
    <cellWatch r="G61896"/>
    <cellWatch r="G61897"/>
    <cellWatch r="G61898"/>
    <cellWatch r="G61899"/>
    <cellWatch r="G61900"/>
    <cellWatch r="G61901"/>
    <cellWatch r="G61902"/>
    <cellWatch r="G61903"/>
    <cellWatch r="G61904"/>
    <cellWatch r="G61905"/>
    <cellWatch r="G61906"/>
    <cellWatch r="G61907"/>
    <cellWatch r="G61908"/>
    <cellWatch r="G61909"/>
    <cellWatch r="G61910"/>
    <cellWatch r="G61911"/>
    <cellWatch r="G61912"/>
    <cellWatch r="G61913"/>
    <cellWatch r="G61914"/>
    <cellWatch r="G61915"/>
    <cellWatch r="G61916"/>
    <cellWatch r="G61917"/>
    <cellWatch r="G61918"/>
    <cellWatch r="G61919"/>
    <cellWatch r="G61920"/>
    <cellWatch r="G61921"/>
    <cellWatch r="G61922"/>
    <cellWatch r="G61923"/>
    <cellWatch r="G61924"/>
    <cellWatch r="G61925"/>
    <cellWatch r="G61926"/>
    <cellWatch r="G61927"/>
    <cellWatch r="G61928"/>
    <cellWatch r="G61929"/>
    <cellWatch r="G61930"/>
    <cellWatch r="G61931"/>
    <cellWatch r="G61932"/>
    <cellWatch r="G61933"/>
    <cellWatch r="G61934"/>
    <cellWatch r="G61935"/>
    <cellWatch r="G61936"/>
    <cellWatch r="G61937"/>
    <cellWatch r="G61938"/>
    <cellWatch r="G61939"/>
    <cellWatch r="G61940"/>
    <cellWatch r="G61941"/>
    <cellWatch r="G61942"/>
    <cellWatch r="G61943"/>
    <cellWatch r="G61944"/>
    <cellWatch r="G61945"/>
    <cellWatch r="G61946"/>
    <cellWatch r="G61947"/>
    <cellWatch r="G61948"/>
    <cellWatch r="G61949"/>
    <cellWatch r="G61950"/>
    <cellWatch r="G61951"/>
    <cellWatch r="G61952"/>
    <cellWatch r="G61953"/>
    <cellWatch r="G61954"/>
    <cellWatch r="G61955"/>
    <cellWatch r="G61956"/>
    <cellWatch r="G61957"/>
    <cellWatch r="G61958"/>
    <cellWatch r="G61959"/>
    <cellWatch r="G61960"/>
    <cellWatch r="G61961"/>
    <cellWatch r="G61962"/>
    <cellWatch r="G61963"/>
    <cellWatch r="G61964"/>
    <cellWatch r="G61965"/>
    <cellWatch r="G61966"/>
    <cellWatch r="G61967"/>
    <cellWatch r="G61968"/>
    <cellWatch r="G61969"/>
    <cellWatch r="G61970"/>
    <cellWatch r="G61971"/>
    <cellWatch r="G61972"/>
    <cellWatch r="G61973"/>
    <cellWatch r="G61974"/>
    <cellWatch r="G61975"/>
    <cellWatch r="G61976"/>
    <cellWatch r="G61977"/>
    <cellWatch r="G61978"/>
    <cellWatch r="G61979"/>
    <cellWatch r="G61980"/>
    <cellWatch r="G61981"/>
    <cellWatch r="G61982"/>
    <cellWatch r="G61983"/>
    <cellWatch r="G61984"/>
    <cellWatch r="G61985"/>
    <cellWatch r="G61986"/>
    <cellWatch r="G61987"/>
    <cellWatch r="G61988"/>
    <cellWatch r="G61989"/>
    <cellWatch r="G61990"/>
    <cellWatch r="G61991"/>
    <cellWatch r="G61992"/>
    <cellWatch r="G61993"/>
    <cellWatch r="G61994"/>
    <cellWatch r="G61995"/>
    <cellWatch r="G61996"/>
    <cellWatch r="G61997"/>
    <cellWatch r="G61998"/>
    <cellWatch r="G61999"/>
    <cellWatch r="G62000"/>
    <cellWatch r="G62001"/>
    <cellWatch r="G62002"/>
    <cellWatch r="G62003"/>
    <cellWatch r="G62004"/>
    <cellWatch r="G62005"/>
    <cellWatch r="G62006"/>
    <cellWatch r="G62007"/>
    <cellWatch r="G62008"/>
    <cellWatch r="G62009"/>
    <cellWatch r="G62010"/>
    <cellWatch r="G62011"/>
    <cellWatch r="G62012"/>
    <cellWatch r="G62013"/>
    <cellWatch r="G62014"/>
    <cellWatch r="G62015"/>
    <cellWatch r="G62016"/>
    <cellWatch r="G62017"/>
    <cellWatch r="G62018"/>
    <cellWatch r="G62019"/>
    <cellWatch r="G62020"/>
    <cellWatch r="G62021"/>
    <cellWatch r="G62022"/>
    <cellWatch r="G62023"/>
    <cellWatch r="G62024"/>
    <cellWatch r="G62025"/>
    <cellWatch r="G62026"/>
    <cellWatch r="G62027"/>
    <cellWatch r="G62028"/>
    <cellWatch r="G62029"/>
    <cellWatch r="G62030"/>
    <cellWatch r="G62031"/>
    <cellWatch r="G62032"/>
    <cellWatch r="G62033"/>
    <cellWatch r="G62034"/>
    <cellWatch r="G62035"/>
    <cellWatch r="G62036"/>
    <cellWatch r="G62037"/>
    <cellWatch r="G62038"/>
    <cellWatch r="G62039"/>
    <cellWatch r="G62040"/>
    <cellWatch r="G62041"/>
    <cellWatch r="G62042"/>
    <cellWatch r="G62043"/>
    <cellWatch r="G62044"/>
    <cellWatch r="G62045"/>
    <cellWatch r="G62046"/>
    <cellWatch r="G62047"/>
    <cellWatch r="G62048"/>
    <cellWatch r="G62049"/>
    <cellWatch r="G62050"/>
    <cellWatch r="G62051"/>
    <cellWatch r="G62052"/>
    <cellWatch r="G62053"/>
    <cellWatch r="G62054"/>
    <cellWatch r="G62055"/>
    <cellWatch r="G62056"/>
    <cellWatch r="G62057"/>
    <cellWatch r="G62058"/>
    <cellWatch r="G62059"/>
    <cellWatch r="G62060"/>
    <cellWatch r="G62061"/>
    <cellWatch r="G62062"/>
    <cellWatch r="G62063"/>
    <cellWatch r="G62064"/>
    <cellWatch r="G62065"/>
    <cellWatch r="G62066"/>
    <cellWatch r="G62067"/>
    <cellWatch r="G62068"/>
    <cellWatch r="G62069"/>
    <cellWatch r="G62070"/>
    <cellWatch r="G62071"/>
    <cellWatch r="G62072"/>
    <cellWatch r="G62073"/>
    <cellWatch r="G62074"/>
    <cellWatch r="G62075"/>
    <cellWatch r="G62076"/>
    <cellWatch r="G62077"/>
    <cellWatch r="G62078"/>
    <cellWatch r="G62079"/>
    <cellWatch r="G62080"/>
    <cellWatch r="G62081"/>
    <cellWatch r="G62082"/>
    <cellWatch r="G62083"/>
    <cellWatch r="G62084"/>
    <cellWatch r="G62085"/>
    <cellWatch r="G62086"/>
    <cellWatch r="G62087"/>
    <cellWatch r="G62088"/>
    <cellWatch r="G62089"/>
    <cellWatch r="G62090"/>
    <cellWatch r="G62091"/>
    <cellWatch r="G62092"/>
    <cellWatch r="G62093"/>
    <cellWatch r="G62094"/>
    <cellWatch r="G62095"/>
    <cellWatch r="G62096"/>
    <cellWatch r="G62097"/>
    <cellWatch r="G62098"/>
    <cellWatch r="G62099"/>
    <cellWatch r="G62100"/>
    <cellWatch r="G62101"/>
    <cellWatch r="G62102"/>
    <cellWatch r="G62103"/>
    <cellWatch r="G62104"/>
    <cellWatch r="G62105"/>
    <cellWatch r="G62106"/>
    <cellWatch r="G62107"/>
    <cellWatch r="G62108"/>
    <cellWatch r="G62109"/>
    <cellWatch r="G62110"/>
    <cellWatch r="G62111"/>
    <cellWatch r="G62112"/>
    <cellWatch r="G62113"/>
    <cellWatch r="G62114"/>
    <cellWatch r="G62115"/>
    <cellWatch r="G62116"/>
    <cellWatch r="G62117"/>
    <cellWatch r="G62118"/>
    <cellWatch r="G62119"/>
    <cellWatch r="G62120"/>
    <cellWatch r="G62121"/>
    <cellWatch r="G62122"/>
    <cellWatch r="G62123"/>
    <cellWatch r="G62124"/>
    <cellWatch r="G62125"/>
    <cellWatch r="G62126"/>
    <cellWatch r="G62127"/>
    <cellWatch r="G62128"/>
    <cellWatch r="G62129"/>
    <cellWatch r="G62130"/>
    <cellWatch r="G62131"/>
    <cellWatch r="G62132"/>
    <cellWatch r="G62133"/>
    <cellWatch r="G62134"/>
    <cellWatch r="G62135"/>
    <cellWatch r="G62136"/>
    <cellWatch r="G62137"/>
    <cellWatch r="G62138"/>
    <cellWatch r="G62139"/>
    <cellWatch r="G62140"/>
    <cellWatch r="G62141"/>
    <cellWatch r="G62142"/>
    <cellWatch r="G62143"/>
    <cellWatch r="G62144"/>
    <cellWatch r="G62145"/>
    <cellWatch r="G62146"/>
    <cellWatch r="G62147"/>
    <cellWatch r="G62148"/>
    <cellWatch r="G62149"/>
    <cellWatch r="G62150"/>
    <cellWatch r="G62151"/>
    <cellWatch r="G62152"/>
    <cellWatch r="G62153"/>
    <cellWatch r="G62154"/>
    <cellWatch r="G62155"/>
    <cellWatch r="G62156"/>
    <cellWatch r="G62157"/>
    <cellWatch r="G62158"/>
    <cellWatch r="G62159"/>
    <cellWatch r="G62160"/>
    <cellWatch r="G62161"/>
    <cellWatch r="G62162"/>
    <cellWatch r="G62163"/>
    <cellWatch r="G62164"/>
    <cellWatch r="G62165"/>
    <cellWatch r="G62166"/>
    <cellWatch r="G62167"/>
    <cellWatch r="G62168"/>
    <cellWatch r="G62169"/>
    <cellWatch r="G62170"/>
    <cellWatch r="G62171"/>
    <cellWatch r="G62172"/>
    <cellWatch r="G62173"/>
    <cellWatch r="G62174"/>
    <cellWatch r="G62175"/>
    <cellWatch r="G62176"/>
    <cellWatch r="G62177"/>
    <cellWatch r="G62178"/>
    <cellWatch r="G62179"/>
    <cellWatch r="G62180"/>
    <cellWatch r="G62181"/>
    <cellWatch r="G62182"/>
    <cellWatch r="G62183"/>
    <cellWatch r="G62184"/>
    <cellWatch r="G62185"/>
    <cellWatch r="G62186"/>
    <cellWatch r="G62187"/>
    <cellWatch r="G62188"/>
    <cellWatch r="G62189"/>
    <cellWatch r="G62190"/>
    <cellWatch r="G62191"/>
    <cellWatch r="G62192"/>
    <cellWatch r="G62193"/>
    <cellWatch r="G62194"/>
    <cellWatch r="G62195"/>
    <cellWatch r="G62196"/>
    <cellWatch r="G62197"/>
    <cellWatch r="G62198"/>
    <cellWatch r="G62199"/>
    <cellWatch r="G62200"/>
    <cellWatch r="G62201"/>
    <cellWatch r="G62202"/>
    <cellWatch r="G62203"/>
    <cellWatch r="G62204"/>
    <cellWatch r="G62205"/>
    <cellWatch r="G62206"/>
    <cellWatch r="G62207"/>
    <cellWatch r="G62208"/>
    <cellWatch r="G62209"/>
    <cellWatch r="G62210"/>
    <cellWatch r="G62211"/>
    <cellWatch r="G62212"/>
    <cellWatch r="G62213"/>
    <cellWatch r="G62214"/>
    <cellWatch r="G62215"/>
    <cellWatch r="G62216"/>
    <cellWatch r="G62217"/>
    <cellWatch r="G62218"/>
    <cellWatch r="G62219"/>
    <cellWatch r="G62220"/>
    <cellWatch r="G62221"/>
    <cellWatch r="G62222"/>
    <cellWatch r="G62223"/>
    <cellWatch r="G62224"/>
    <cellWatch r="G62225"/>
    <cellWatch r="G62226"/>
    <cellWatch r="G62227"/>
    <cellWatch r="G62228"/>
    <cellWatch r="G62229"/>
    <cellWatch r="G62230"/>
    <cellWatch r="G62231"/>
    <cellWatch r="G62232"/>
    <cellWatch r="G62233"/>
    <cellWatch r="G62234"/>
    <cellWatch r="G62235"/>
    <cellWatch r="G62236"/>
    <cellWatch r="G62237"/>
    <cellWatch r="G62238"/>
    <cellWatch r="G62239"/>
    <cellWatch r="G62240"/>
    <cellWatch r="G62241"/>
    <cellWatch r="G62242"/>
    <cellWatch r="G62243"/>
    <cellWatch r="G62244"/>
    <cellWatch r="G62245"/>
    <cellWatch r="G62246"/>
    <cellWatch r="G62247"/>
    <cellWatch r="G62248"/>
    <cellWatch r="G62249"/>
    <cellWatch r="G62250"/>
    <cellWatch r="G62251"/>
    <cellWatch r="G62252"/>
    <cellWatch r="G62253"/>
    <cellWatch r="G62254"/>
    <cellWatch r="G62255"/>
    <cellWatch r="G62256"/>
    <cellWatch r="G62257"/>
    <cellWatch r="G62258"/>
    <cellWatch r="G62259"/>
    <cellWatch r="G62260"/>
    <cellWatch r="G62261"/>
    <cellWatch r="G62262"/>
    <cellWatch r="G62263"/>
    <cellWatch r="G62264"/>
    <cellWatch r="G62265"/>
    <cellWatch r="G62266"/>
    <cellWatch r="G62267"/>
    <cellWatch r="G62268"/>
    <cellWatch r="G62269"/>
    <cellWatch r="G62270"/>
    <cellWatch r="G62271"/>
    <cellWatch r="G62272"/>
    <cellWatch r="G62273"/>
    <cellWatch r="G62274"/>
    <cellWatch r="G62275"/>
    <cellWatch r="G62276"/>
    <cellWatch r="G62277"/>
    <cellWatch r="G62278"/>
    <cellWatch r="G62279"/>
    <cellWatch r="G62280"/>
    <cellWatch r="G62281"/>
    <cellWatch r="G62282"/>
    <cellWatch r="G62283"/>
    <cellWatch r="G62284"/>
    <cellWatch r="G62285"/>
    <cellWatch r="G62286"/>
    <cellWatch r="G62287"/>
    <cellWatch r="G62288"/>
    <cellWatch r="G62289"/>
    <cellWatch r="G62290"/>
    <cellWatch r="G62291"/>
    <cellWatch r="G62292"/>
    <cellWatch r="G62293"/>
    <cellWatch r="G62294"/>
    <cellWatch r="G62295"/>
    <cellWatch r="G62296"/>
    <cellWatch r="G62297"/>
    <cellWatch r="G62298"/>
    <cellWatch r="G62299"/>
    <cellWatch r="G62300"/>
    <cellWatch r="G62301"/>
    <cellWatch r="G62302"/>
    <cellWatch r="G62303"/>
    <cellWatch r="G62304"/>
    <cellWatch r="G62305"/>
    <cellWatch r="G62306"/>
    <cellWatch r="G62307"/>
    <cellWatch r="G62308"/>
    <cellWatch r="G62309"/>
    <cellWatch r="G62310"/>
    <cellWatch r="G62311"/>
    <cellWatch r="G62312"/>
    <cellWatch r="G62313"/>
    <cellWatch r="G62314"/>
    <cellWatch r="G62315"/>
    <cellWatch r="G62316"/>
    <cellWatch r="G62317"/>
    <cellWatch r="G62318"/>
    <cellWatch r="G62319"/>
    <cellWatch r="G62320"/>
    <cellWatch r="G62321"/>
    <cellWatch r="G62322"/>
    <cellWatch r="G62323"/>
    <cellWatch r="G62324"/>
    <cellWatch r="G62325"/>
    <cellWatch r="G62326"/>
    <cellWatch r="G62327"/>
    <cellWatch r="G62328"/>
    <cellWatch r="G62329"/>
    <cellWatch r="G62330"/>
    <cellWatch r="G62331"/>
    <cellWatch r="G62332"/>
    <cellWatch r="G62333"/>
    <cellWatch r="G62334"/>
    <cellWatch r="G62335"/>
    <cellWatch r="G62336"/>
    <cellWatch r="G62337"/>
    <cellWatch r="G62338"/>
    <cellWatch r="G62339"/>
    <cellWatch r="G62340"/>
    <cellWatch r="G62341"/>
    <cellWatch r="G62342"/>
    <cellWatch r="G62343"/>
    <cellWatch r="G62344"/>
    <cellWatch r="G62345"/>
    <cellWatch r="G62346"/>
    <cellWatch r="G62347"/>
    <cellWatch r="G62348"/>
    <cellWatch r="G62349"/>
    <cellWatch r="G62350"/>
    <cellWatch r="G62351"/>
    <cellWatch r="G62352"/>
    <cellWatch r="G62353"/>
    <cellWatch r="G62354"/>
    <cellWatch r="G62355"/>
    <cellWatch r="G62356"/>
    <cellWatch r="G62357"/>
    <cellWatch r="G62358"/>
    <cellWatch r="G62359"/>
    <cellWatch r="G62360"/>
    <cellWatch r="G62361"/>
    <cellWatch r="G62362"/>
    <cellWatch r="G62363"/>
    <cellWatch r="G62364"/>
    <cellWatch r="G62365"/>
    <cellWatch r="G62366"/>
    <cellWatch r="G62367"/>
    <cellWatch r="G62368"/>
    <cellWatch r="G62369"/>
    <cellWatch r="G62370"/>
    <cellWatch r="G62371"/>
    <cellWatch r="G62372"/>
    <cellWatch r="G62373"/>
    <cellWatch r="G62374"/>
    <cellWatch r="G62375"/>
    <cellWatch r="G62376"/>
    <cellWatch r="G62377"/>
    <cellWatch r="G62378"/>
    <cellWatch r="G62379"/>
    <cellWatch r="G62380"/>
    <cellWatch r="G62381"/>
    <cellWatch r="G62382"/>
    <cellWatch r="G62383"/>
    <cellWatch r="G62384"/>
    <cellWatch r="G62385"/>
    <cellWatch r="G62386"/>
    <cellWatch r="G62387"/>
    <cellWatch r="G62388"/>
    <cellWatch r="G62389"/>
    <cellWatch r="G62390"/>
    <cellWatch r="G62391"/>
    <cellWatch r="G62392"/>
    <cellWatch r="G62393"/>
    <cellWatch r="G62394"/>
    <cellWatch r="G62395"/>
    <cellWatch r="G62396"/>
    <cellWatch r="G62397"/>
    <cellWatch r="G62398"/>
    <cellWatch r="G62399"/>
    <cellWatch r="G62400"/>
    <cellWatch r="G62401"/>
    <cellWatch r="G62402"/>
    <cellWatch r="G62403"/>
    <cellWatch r="G62404"/>
    <cellWatch r="G62405"/>
    <cellWatch r="G62406"/>
    <cellWatch r="G62407"/>
    <cellWatch r="G62408"/>
    <cellWatch r="G62409"/>
    <cellWatch r="G62410"/>
    <cellWatch r="G62411"/>
    <cellWatch r="G62412"/>
    <cellWatch r="G62413"/>
    <cellWatch r="G62414"/>
    <cellWatch r="G62415"/>
    <cellWatch r="G62416"/>
    <cellWatch r="G62417"/>
    <cellWatch r="G62418"/>
    <cellWatch r="G62419"/>
    <cellWatch r="G62420"/>
    <cellWatch r="G62421"/>
    <cellWatch r="G62422"/>
    <cellWatch r="G62423"/>
    <cellWatch r="G62424"/>
    <cellWatch r="G62425"/>
    <cellWatch r="G62426"/>
    <cellWatch r="G62427"/>
    <cellWatch r="G62428"/>
    <cellWatch r="G62429"/>
    <cellWatch r="G62430"/>
    <cellWatch r="G62431"/>
    <cellWatch r="G62432"/>
    <cellWatch r="G62433"/>
    <cellWatch r="G62434"/>
    <cellWatch r="G62435"/>
    <cellWatch r="G62436"/>
    <cellWatch r="G62437"/>
    <cellWatch r="G62438"/>
    <cellWatch r="G62439"/>
    <cellWatch r="G62440"/>
    <cellWatch r="G62441"/>
    <cellWatch r="G62442"/>
    <cellWatch r="G62443"/>
    <cellWatch r="G62444"/>
    <cellWatch r="G62445"/>
    <cellWatch r="G62446"/>
    <cellWatch r="G62447"/>
    <cellWatch r="G62448"/>
    <cellWatch r="G62449"/>
    <cellWatch r="G62450"/>
    <cellWatch r="G62451"/>
    <cellWatch r="G62452"/>
    <cellWatch r="G62453"/>
    <cellWatch r="G62454"/>
    <cellWatch r="G62455"/>
    <cellWatch r="G62456"/>
    <cellWatch r="G62457"/>
    <cellWatch r="G62458"/>
    <cellWatch r="G62459"/>
    <cellWatch r="G62460"/>
    <cellWatch r="G62461"/>
    <cellWatch r="G62462"/>
    <cellWatch r="G62463"/>
    <cellWatch r="G62464"/>
    <cellWatch r="G62465"/>
    <cellWatch r="G62466"/>
    <cellWatch r="G62467"/>
    <cellWatch r="G62468"/>
    <cellWatch r="G62469"/>
    <cellWatch r="G62470"/>
    <cellWatch r="G62471"/>
    <cellWatch r="G62472"/>
    <cellWatch r="G62473"/>
    <cellWatch r="G62474"/>
    <cellWatch r="G62475"/>
    <cellWatch r="G62476"/>
    <cellWatch r="G62477"/>
    <cellWatch r="G62478"/>
    <cellWatch r="G62479"/>
    <cellWatch r="G62480"/>
    <cellWatch r="G62481"/>
    <cellWatch r="G62482"/>
    <cellWatch r="G62483"/>
    <cellWatch r="G62484"/>
    <cellWatch r="G62485"/>
    <cellWatch r="G62486"/>
    <cellWatch r="G62487"/>
    <cellWatch r="G62488"/>
    <cellWatch r="G62489"/>
    <cellWatch r="G62490"/>
    <cellWatch r="G62491"/>
    <cellWatch r="G62492"/>
    <cellWatch r="G62493"/>
    <cellWatch r="G62494"/>
    <cellWatch r="G62495"/>
    <cellWatch r="G62496"/>
    <cellWatch r="G62497"/>
    <cellWatch r="G62498"/>
    <cellWatch r="G62499"/>
    <cellWatch r="G62500"/>
    <cellWatch r="G62501"/>
    <cellWatch r="G62502"/>
    <cellWatch r="G62503"/>
    <cellWatch r="G62504"/>
    <cellWatch r="G62505"/>
    <cellWatch r="G62506"/>
    <cellWatch r="G62507"/>
    <cellWatch r="G62508"/>
    <cellWatch r="G62509"/>
    <cellWatch r="G62510"/>
    <cellWatch r="G62511"/>
    <cellWatch r="G62512"/>
    <cellWatch r="G62513"/>
    <cellWatch r="G62514"/>
    <cellWatch r="G62515"/>
    <cellWatch r="G62516"/>
    <cellWatch r="G62517"/>
    <cellWatch r="G62518"/>
    <cellWatch r="G62519"/>
    <cellWatch r="G62520"/>
    <cellWatch r="G62521"/>
    <cellWatch r="G62522"/>
    <cellWatch r="G62523"/>
    <cellWatch r="G62524"/>
    <cellWatch r="G62525"/>
    <cellWatch r="G62526"/>
    <cellWatch r="G62527"/>
    <cellWatch r="G62528"/>
    <cellWatch r="G62529"/>
    <cellWatch r="G62530"/>
    <cellWatch r="G62531"/>
    <cellWatch r="G62532"/>
    <cellWatch r="G62533"/>
    <cellWatch r="G62534"/>
    <cellWatch r="G62535"/>
    <cellWatch r="G62536"/>
    <cellWatch r="G62537"/>
    <cellWatch r="G62538"/>
    <cellWatch r="G62539"/>
    <cellWatch r="G62540"/>
    <cellWatch r="G62541"/>
    <cellWatch r="G62542"/>
    <cellWatch r="G62543"/>
    <cellWatch r="G62544"/>
    <cellWatch r="G62545"/>
    <cellWatch r="G62546"/>
    <cellWatch r="G62547"/>
    <cellWatch r="G62548"/>
    <cellWatch r="G62549"/>
    <cellWatch r="G62550"/>
    <cellWatch r="G62551"/>
    <cellWatch r="G62552"/>
    <cellWatch r="G62553"/>
    <cellWatch r="G62554"/>
    <cellWatch r="G62555"/>
    <cellWatch r="G62556"/>
    <cellWatch r="G62557"/>
    <cellWatch r="G62558"/>
    <cellWatch r="G62559"/>
    <cellWatch r="G62560"/>
    <cellWatch r="G62561"/>
    <cellWatch r="G62562"/>
    <cellWatch r="G62563"/>
    <cellWatch r="G62564"/>
    <cellWatch r="G62565"/>
    <cellWatch r="G62566"/>
    <cellWatch r="G62567"/>
    <cellWatch r="G62568"/>
    <cellWatch r="G62569"/>
    <cellWatch r="G62570"/>
    <cellWatch r="G62571"/>
    <cellWatch r="G62572"/>
    <cellWatch r="G62573"/>
    <cellWatch r="G62574"/>
    <cellWatch r="G62575"/>
    <cellWatch r="G62576"/>
    <cellWatch r="G62577"/>
    <cellWatch r="G62578"/>
    <cellWatch r="G62579"/>
    <cellWatch r="G62580"/>
    <cellWatch r="G62581"/>
    <cellWatch r="G62582"/>
    <cellWatch r="G62583"/>
    <cellWatch r="G62584"/>
    <cellWatch r="G62585"/>
    <cellWatch r="G62586"/>
    <cellWatch r="G62587"/>
    <cellWatch r="G62588"/>
    <cellWatch r="G62589"/>
    <cellWatch r="G62590"/>
    <cellWatch r="G62591"/>
    <cellWatch r="G62592"/>
    <cellWatch r="G62593"/>
    <cellWatch r="G62594"/>
    <cellWatch r="G62595"/>
    <cellWatch r="G62596"/>
    <cellWatch r="G62597"/>
    <cellWatch r="G62598"/>
    <cellWatch r="G62599"/>
    <cellWatch r="G62600"/>
    <cellWatch r="G62601"/>
    <cellWatch r="G62602"/>
    <cellWatch r="G62603"/>
    <cellWatch r="G62604"/>
    <cellWatch r="G62605"/>
    <cellWatch r="G62606"/>
    <cellWatch r="G62607"/>
    <cellWatch r="G62608"/>
    <cellWatch r="G62609"/>
    <cellWatch r="G62610"/>
    <cellWatch r="G62611"/>
    <cellWatch r="G62612"/>
    <cellWatch r="G62613"/>
    <cellWatch r="G62614"/>
    <cellWatch r="G62615"/>
    <cellWatch r="G62616"/>
    <cellWatch r="G62617"/>
    <cellWatch r="G62618"/>
    <cellWatch r="G62619"/>
    <cellWatch r="G62620"/>
    <cellWatch r="G62621"/>
    <cellWatch r="G62622"/>
    <cellWatch r="G62623"/>
    <cellWatch r="G62624"/>
    <cellWatch r="G62625"/>
    <cellWatch r="G62626"/>
    <cellWatch r="G62627"/>
    <cellWatch r="G62628"/>
    <cellWatch r="G62629"/>
    <cellWatch r="G62630"/>
    <cellWatch r="G62631"/>
    <cellWatch r="G62632"/>
    <cellWatch r="G62633"/>
    <cellWatch r="G62634"/>
    <cellWatch r="G62635"/>
    <cellWatch r="G62636"/>
    <cellWatch r="G62637"/>
    <cellWatch r="G62638"/>
    <cellWatch r="G62639"/>
    <cellWatch r="G62640"/>
    <cellWatch r="G62641"/>
    <cellWatch r="G62642"/>
    <cellWatch r="G62643"/>
    <cellWatch r="G62644"/>
    <cellWatch r="G62645"/>
    <cellWatch r="G62646"/>
    <cellWatch r="G62647"/>
    <cellWatch r="G62648"/>
    <cellWatch r="G62649"/>
    <cellWatch r="G62650"/>
    <cellWatch r="G62651"/>
    <cellWatch r="G62652"/>
    <cellWatch r="G62653"/>
    <cellWatch r="G62654"/>
    <cellWatch r="G62655"/>
    <cellWatch r="G62656"/>
    <cellWatch r="G62657"/>
    <cellWatch r="G62658"/>
    <cellWatch r="G62659"/>
    <cellWatch r="G62660"/>
    <cellWatch r="G62661"/>
    <cellWatch r="G62662"/>
    <cellWatch r="G62663"/>
    <cellWatch r="G62664"/>
    <cellWatch r="G62665"/>
    <cellWatch r="G62666"/>
    <cellWatch r="G62667"/>
    <cellWatch r="G62668"/>
    <cellWatch r="G62669"/>
    <cellWatch r="G62670"/>
    <cellWatch r="G62671"/>
    <cellWatch r="G62672"/>
    <cellWatch r="G62673"/>
    <cellWatch r="G62674"/>
    <cellWatch r="G62675"/>
    <cellWatch r="G62676"/>
    <cellWatch r="G62677"/>
    <cellWatch r="G62678"/>
    <cellWatch r="G62679"/>
    <cellWatch r="G62680"/>
    <cellWatch r="G62681"/>
    <cellWatch r="G62682"/>
    <cellWatch r="G62683"/>
    <cellWatch r="G62684"/>
    <cellWatch r="G62685"/>
    <cellWatch r="G62686"/>
    <cellWatch r="G62687"/>
    <cellWatch r="G62688"/>
    <cellWatch r="G62689"/>
    <cellWatch r="G62690"/>
    <cellWatch r="G62691"/>
    <cellWatch r="G62692"/>
    <cellWatch r="G62693"/>
    <cellWatch r="G62694"/>
    <cellWatch r="G62695"/>
    <cellWatch r="G62696"/>
    <cellWatch r="G62697"/>
    <cellWatch r="G62698"/>
    <cellWatch r="G62699"/>
    <cellWatch r="G62700"/>
    <cellWatch r="G62701"/>
    <cellWatch r="G62702"/>
    <cellWatch r="G62703"/>
    <cellWatch r="G62704"/>
    <cellWatch r="G62705"/>
    <cellWatch r="G62706"/>
    <cellWatch r="G62707"/>
    <cellWatch r="G62708"/>
    <cellWatch r="G62709"/>
    <cellWatch r="G62710"/>
    <cellWatch r="G62711"/>
    <cellWatch r="G62712"/>
    <cellWatch r="G62713"/>
    <cellWatch r="G62714"/>
    <cellWatch r="G62715"/>
    <cellWatch r="G62716"/>
    <cellWatch r="G62717"/>
    <cellWatch r="G62718"/>
    <cellWatch r="G62719"/>
    <cellWatch r="G62720"/>
    <cellWatch r="G62721"/>
    <cellWatch r="G62722"/>
    <cellWatch r="G62723"/>
    <cellWatch r="G62724"/>
    <cellWatch r="G62725"/>
    <cellWatch r="G62726"/>
    <cellWatch r="G62727"/>
    <cellWatch r="G62728"/>
    <cellWatch r="G62729"/>
    <cellWatch r="G62730"/>
    <cellWatch r="G62731"/>
    <cellWatch r="G62732"/>
    <cellWatch r="G62733"/>
    <cellWatch r="G62734"/>
    <cellWatch r="G62735"/>
    <cellWatch r="G62736"/>
    <cellWatch r="G62737"/>
    <cellWatch r="G62738"/>
    <cellWatch r="G62739"/>
    <cellWatch r="G62740"/>
    <cellWatch r="G62741"/>
    <cellWatch r="G62742"/>
    <cellWatch r="G62743"/>
    <cellWatch r="G62744"/>
    <cellWatch r="G62745"/>
    <cellWatch r="G62746"/>
    <cellWatch r="G62747"/>
    <cellWatch r="G62748"/>
    <cellWatch r="G62749"/>
    <cellWatch r="G62750"/>
    <cellWatch r="G62751"/>
    <cellWatch r="G62752"/>
    <cellWatch r="G62753"/>
    <cellWatch r="G62754"/>
    <cellWatch r="G62755"/>
    <cellWatch r="G62756"/>
    <cellWatch r="G62757"/>
    <cellWatch r="G62758"/>
    <cellWatch r="G62759"/>
    <cellWatch r="G62760"/>
    <cellWatch r="G62761"/>
    <cellWatch r="G62762"/>
    <cellWatch r="G62763"/>
    <cellWatch r="G62764"/>
    <cellWatch r="G62765"/>
    <cellWatch r="G62766"/>
    <cellWatch r="G62767"/>
    <cellWatch r="G62768"/>
    <cellWatch r="G62769"/>
    <cellWatch r="G62770"/>
    <cellWatch r="G62771"/>
    <cellWatch r="G62772"/>
    <cellWatch r="G62773"/>
    <cellWatch r="G62774"/>
    <cellWatch r="G62775"/>
    <cellWatch r="G62776"/>
    <cellWatch r="G62777"/>
    <cellWatch r="G62778"/>
    <cellWatch r="G62779"/>
    <cellWatch r="G62780"/>
    <cellWatch r="G62781"/>
    <cellWatch r="G62782"/>
    <cellWatch r="G62783"/>
    <cellWatch r="G62784"/>
    <cellWatch r="G62785"/>
    <cellWatch r="G62786"/>
    <cellWatch r="G62787"/>
    <cellWatch r="G62788"/>
    <cellWatch r="G62789"/>
    <cellWatch r="G62790"/>
    <cellWatch r="G62791"/>
    <cellWatch r="G62792"/>
    <cellWatch r="G62793"/>
    <cellWatch r="G62794"/>
    <cellWatch r="G62795"/>
    <cellWatch r="G62796"/>
    <cellWatch r="G62797"/>
    <cellWatch r="G62798"/>
    <cellWatch r="G62799"/>
    <cellWatch r="G62800"/>
    <cellWatch r="G62801"/>
    <cellWatch r="G62802"/>
    <cellWatch r="G62803"/>
    <cellWatch r="G62804"/>
    <cellWatch r="G62805"/>
    <cellWatch r="G62806"/>
    <cellWatch r="G62807"/>
    <cellWatch r="G62808"/>
    <cellWatch r="G62809"/>
    <cellWatch r="G62810"/>
    <cellWatch r="G62811"/>
    <cellWatch r="G62812"/>
    <cellWatch r="G62813"/>
    <cellWatch r="G62814"/>
    <cellWatch r="G62815"/>
    <cellWatch r="G62816"/>
    <cellWatch r="G62817"/>
    <cellWatch r="G62818"/>
    <cellWatch r="G62819"/>
    <cellWatch r="G62820"/>
    <cellWatch r="G62821"/>
    <cellWatch r="G62822"/>
    <cellWatch r="G62823"/>
    <cellWatch r="G62824"/>
    <cellWatch r="G62825"/>
    <cellWatch r="G62826"/>
    <cellWatch r="G62827"/>
    <cellWatch r="G62828"/>
    <cellWatch r="G62829"/>
    <cellWatch r="G62830"/>
    <cellWatch r="G62831"/>
    <cellWatch r="G62832"/>
    <cellWatch r="G62833"/>
    <cellWatch r="G62834"/>
    <cellWatch r="G62835"/>
    <cellWatch r="G62836"/>
    <cellWatch r="G62837"/>
    <cellWatch r="G62838"/>
    <cellWatch r="G62839"/>
    <cellWatch r="G62840"/>
    <cellWatch r="G62841"/>
    <cellWatch r="G62842"/>
    <cellWatch r="G62843"/>
    <cellWatch r="G62844"/>
    <cellWatch r="G62845"/>
    <cellWatch r="G62846"/>
    <cellWatch r="G62847"/>
    <cellWatch r="G62848"/>
    <cellWatch r="G62849"/>
    <cellWatch r="G62850"/>
    <cellWatch r="G62851"/>
    <cellWatch r="G62852"/>
    <cellWatch r="G62853"/>
    <cellWatch r="G62854"/>
    <cellWatch r="G62855"/>
    <cellWatch r="G62856"/>
    <cellWatch r="G62857"/>
    <cellWatch r="G62858"/>
    <cellWatch r="G62859"/>
    <cellWatch r="G62860"/>
    <cellWatch r="G62861"/>
    <cellWatch r="G62862"/>
    <cellWatch r="G62863"/>
    <cellWatch r="G62864"/>
    <cellWatch r="G62865"/>
    <cellWatch r="G62866"/>
    <cellWatch r="G62867"/>
    <cellWatch r="G62868"/>
    <cellWatch r="G62869"/>
    <cellWatch r="G62870"/>
    <cellWatch r="G62871"/>
    <cellWatch r="G62872"/>
    <cellWatch r="G62873"/>
    <cellWatch r="G62874"/>
    <cellWatch r="G62875"/>
    <cellWatch r="G62876"/>
    <cellWatch r="G62877"/>
    <cellWatch r="G62878"/>
    <cellWatch r="G62879"/>
    <cellWatch r="G62880"/>
    <cellWatch r="G62881"/>
    <cellWatch r="G62882"/>
    <cellWatch r="G62883"/>
    <cellWatch r="G62884"/>
    <cellWatch r="G62885"/>
    <cellWatch r="G62886"/>
    <cellWatch r="G62887"/>
    <cellWatch r="G62888"/>
    <cellWatch r="G62889"/>
    <cellWatch r="G62890"/>
    <cellWatch r="G62891"/>
    <cellWatch r="G62892"/>
    <cellWatch r="G62893"/>
    <cellWatch r="G62894"/>
    <cellWatch r="G62895"/>
    <cellWatch r="G62896"/>
    <cellWatch r="G62897"/>
    <cellWatch r="G62898"/>
    <cellWatch r="G62899"/>
    <cellWatch r="G62900"/>
    <cellWatch r="G62901"/>
    <cellWatch r="G62902"/>
    <cellWatch r="G62903"/>
    <cellWatch r="G62904"/>
    <cellWatch r="G62905"/>
    <cellWatch r="G62906"/>
    <cellWatch r="G62907"/>
    <cellWatch r="G62908"/>
    <cellWatch r="G62909"/>
    <cellWatch r="G62910"/>
    <cellWatch r="G62911"/>
    <cellWatch r="G62912"/>
    <cellWatch r="G62913"/>
    <cellWatch r="G62914"/>
    <cellWatch r="G62915"/>
    <cellWatch r="G62916"/>
    <cellWatch r="G62917"/>
    <cellWatch r="G62918"/>
    <cellWatch r="G62919"/>
    <cellWatch r="G62920"/>
    <cellWatch r="G62921"/>
    <cellWatch r="G62922"/>
    <cellWatch r="G62923"/>
    <cellWatch r="G62924"/>
    <cellWatch r="G62925"/>
    <cellWatch r="G62926"/>
    <cellWatch r="G62927"/>
    <cellWatch r="G62928"/>
    <cellWatch r="G62929"/>
    <cellWatch r="G62930"/>
    <cellWatch r="G62931"/>
    <cellWatch r="G62932"/>
    <cellWatch r="G62933"/>
    <cellWatch r="G62934"/>
    <cellWatch r="G62935"/>
    <cellWatch r="G62936"/>
    <cellWatch r="G62937"/>
    <cellWatch r="G62938"/>
    <cellWatch r="G62939"/>
    <cellWatch r="G62940"/>
    <cellWatch r="G62941"/>
    <cellWatch r="G62942"/>
    <cellWatch r="G62943"/>
    <cellWatch r="G62944"/>
    <cellWatch r="G62945"/>
    <cellWatch r="G62946"/>
    <cellWatch r="G62947"/>
    <cellWatch r="G62948"/>
    <cellWatch r="G62949"/>
    <cellWatch r="G62950"/>
    <cellWatch r="G62951"/>
    <cellWatch r="G62952"/>
    <cellWatch r="G62953"/>
    <cellWatch r="G62954"/>
    <cellWatch r="G62955"/>
    <cellWatch r="G62956"/>
    <cellWatch r="G62957"/>
    <cellWatch r="G62958"/>
    <cellWatch r="G62959"/>
    <cellWatch r="G62960"/>
    <cellWatch r="G62961"/>
    <cellWatch r="G62962"/>
    <cellWatch r="G62963"/>
    <cellWatch r="G62964"/>
    <cellWatch r="G62965"/>
    <cellWatch r="G62966"/>
    <cellWatch r="G62967"/>
    <cellWatch r="G62968"/>
    <cellWatch r="G62969"/>
    <cellWatch r="G62970"/>
    <cellWatch r="G62971"/>
    <cellWatch r="G62972"/>
    <cellWatch r="G62973"/>
    <cellWatch r="G62974"/>
    <cellWatch r="G62975"/>
    <cellWatch r="G62976"/>
    <cellWatch r="G62977"/>
    <cellWatch r="G62978"/>
    <cellWatch r="G62979"/>
    <cellWatch r="G62980"/>
    <cellWatch r="G62981"/>
    <cellWatch r="G62982"/>
    <cellWatch r="G62983"/>
    <cellWatch r="G62984"/>
    <cellWatch r="G62985"/>
    <cellWatch r="G62986"/>
    <cellWatch r="G62987"/>
    <cellWatch r="G62988"/>
    <cellWatch r="G62989"/>
    <cellWatch r="G62990"/>
    <cellWatch r="G62991"/>
    <cellWatch r="G62992"/>
    <cellWatch r="G62993"/>
    <cellWatch r="G62994"/>
    <cellWatch r="G62995"/>
    <cellWatch r="G62996"/>
    <cellWatch r="G62997"/>
    <cellWatch r="G62998"/>
    <cellWatch r="G62999"/>
    <cellWatch r="G63000"/>
    <cellWatch r="G63001"/>
    <cellWatch r="G63002"/>
    <cellWatch r="G63003"/>
    <cellWatch r="G63004"/>
    <cellWatch r="G63005"/>
    <cellWatch r="G63006"/>
    <cellWatch r="G63007"/>
    <cellWatch r="G63008"/>
    <cellWatch r="G63009"/>
    <cellWatch r="G63010"/>
    <cellWatch r="G63011"/>
    <cellWatch r="G63012"/>
    <cellWatch r="G63013"/>
    <cellWatch r="G63014"/>
    <cellWatch r="G63015"/>
    <cellWatch r="G63016"/>
    <cellWatch r="G63017"/>
    <cellWatch r="G63018"/>
    <cellWatch r="G63019"/>
    <cellWatch r="G63020"/>
    <cellWatch r="G63021"/>
    <cellWatch r="G63022"/>
    <cellWatch r="G63023"/>
    <cellWatch r="G63024"/>
    <cellWatch r="G63025"/>
    <cellWatch r="G63026"/>
    <cellWatch r="G63027"/>
    <cellWatch r="G63028"/>
    <cellWatch r="G63029"/>
    <cellWatch r="G63030"/>
    <cellWatch r="G63031"/>
    <cellWatch r="G63032"/>
    <cellWatch r="G63033"/>
    <cellWatch r="G63034"/>
    <cellWatch r="G63035"/>
    <cellWatch r="G63036"/>
    <cellWatch r="G63037"/>
    <cellWatch r="G63038"/>
    <cellWatch r="G63039"/>
    <cellWatch r="G63040"/>
    <cellWatch r="G63041"/>
    <cellWatch r="G63042"/>
    <cellWatch r="G63043"/>
    <cellWatch r="G63044"/>
    <cellWatch r="G63045"/>
    <cellWatch r="G63046"/>
    <cellWatch r="G63047"/>
    <cellWatch r="G63048"/>
    <cellWatch r="G63049"/>
    <cellWatch r="G63050"/>
    <cellWatch r="G63051"/>
    <cellWatch r="G63052"/>
    <cellWatch r="G63053"/>
    <cellWatch r="G63054"/>
    <cellWatch r="G63055"/>
    <cellWatch r="G63056"/>
    <cellWatch r="G63057"/>
    <cellWatch r="G63058"/>
    <cellWatch r="G63059"/>
    <cellWatch r="G63060"/>
    <cellWatch r="G63061"/>
    <cellWatch r="G63062"/>
    <cellWatch r="G63063"/>
    <cellWatch r="G63064"/>
    <cellWatch r="G63065"/>
    <cellWatch r="G63066"/>
    <cellWatch r="G63067"/>
    <cellWatch r="G63068"/>
    <cellWatch r="G63069"/>
    <cellWatch r="G63070"/>
    <cellWatch r="G63071"/>
    <cellWatch r="G63072"/>
    <cellWatch r="G63073"/>
    <cellWatch r="G63074"/>
    <cellWatch r="G63075"/>
    <cellWatch r="G63076"/>
    <cellWatch r="G63077"/>
    <cellWatch r="G63078"/>
    <cellWatch r="G63079"/>
    <cellWatch r="G63080"/>
    <cellWatch r="G63081"/>
    <cellWatch r="G63082"/>
    <cellWatch r="G63083"/>
    <cellWatch r="G63084"/>
    <cellWatch r="G63085"/>
    <cellWatch r="G63086"/>
    <cellWatch r="G63087"/>
    <cellWatch r="G63088"/>
    <cellWatch r="G63089"/>
    <cellWatch r="G63090"/>
    <cellWatch r="G63091"/>
    <cellWatch r="G63092"/>
    <cellWatch r="G63093"/>
    <cellWatch r="G63094"/>
    <cellWatch r="G63095"/>
    <cellWatch r="G63096"/>
    <cellWatch r="G63097"/>
    <cellWatch r="G63098"/>
    <cellWatch r="G63099"/>
    <cellWatch r="G63100"/>
    <cellWatch r="G63101"/>
    <cellWatch r="G63102"/>
    <cellWatch r="G63103"/>
    <cellWatch r="G63104"/>
    <cellWatch r="G63105"/>
    <cellWatch r="G63106"/>
    <cellWatch r="G63107"/>
    <cellWatch r="G63108"/>
    <cellWatch r="G63109"/>
    <cellWatch r="G63110"/>
    <cellWatch r="G63111"/>
    <cellWatch r="G63112"/>
    <cellWatch r="G63113"/>
    <cellWatch r="G63114"/>
    <cellWatch r="G63115"/>
    <cellWatch r="G63116"/>
    <cellWatch r="G63117"/>
    <cellWatch r="G63118"/>
    <cellWatch r="G63119"/>
    <cellWatch r="G63120"/>
    <cellWatch r="G63121"/>
    <cellWatch r="G63122"/>
    <cellWatch r="G63123"/>
    <cellWatch r="G63124"/>
    <cellWatch r="G63125"/>
    <cellWatch r="G63126"/>
    <cellWatch r="G63127"/>
    <cellWatch r="G63128"/>
    <cellWatch r="G63129"/>
    <cellWatch r="G63130"/>
    <cellWatch r="G63131"/>
    <cellWatch r="G63132"/>
    <cellWatch r="G63133"/>
    <cellWatch r="G63134"/>
    <cellWatch r="G63135"/>
    <cellWatch r="G63136"/>
    <cellWatch r="G63137"/>
    <cellWatch r="G63138"/>
    <cellWatch r="G63139"/>
    <cellWatch r="G63140"/>
    <cellWatch r="G63141"/>
    <cellWatch r="G63142"/>
    <cellWatch r="G63143"/>
    <cellWatch r="G63144"/>
    <cellWatch r="G63145"/>
    <cellWatch r="G63146"/>
    <cellWatch r="G63147"/>
    <cellWatch r="G63148"/>
    <cellWatch r="G63149"/>
    <cellWatch r="G63150"/>
    <cellWatch r="G63151"/>
    <cellWatch r="G63152"/>
    <cellWatch r="G63153"/>
    <cellWatch r="G63154"/>
    <cellWatch r="G63155"/>
    <cellWatch r="G63156"/>
    <cellWatch r="G63157"/>
    <cellWatch r="G63158"/>
    <cellWatch r="G63159"/>
    <cellWatch r="G63160"/>
    <cellWatch r="G63161"/>
    <cellWatch r="G63162"/>
    <cellWatch r="G63163"/>
    <cellWatch r="G63164"/>
    <cellWatch r="G63165"/>
    <cellWatch r="G63166"/>
    <cellWatch r="G63167"/>
    <cellWatch r="G63168"/>
    <cellWatch r="G63169"/>
    <cellWatch r="G63170"/>
    <cellWatch r="G63171"/>
    <cellWatch r="G63172"/>
    <cellWatch r="G63173"/>
    <cellWatch r="G63174"/>
    <cellWatch r="G63175"/>
    <cellWatch r="G63176"/>
    <cellWatch r="G63177"/>
    <cellWatch r="G63178"/>
    <cellWatch r="G63179"/>
    <cellWatch r="G63180"/>
    <cellWatch r="G63181"/>
    <cellWatch r="G63182"/>
    <cellWatch r="G63183"/>
    <cellWatch r="G63184"/>
    <cellWatch r="G63185"/>
    <cellWatch r="G63186"/>
    <cellWatch r="G63187"/>
    <cellWatch r="G63188"/>
    <cellWatch r="G63189"/>
    <cellWatch r="G63190"/>
    <cellWatch r="G63191"/>
    <cellWatch r="G63192"/>
    <cellWatch r="G63193"/>
    <cellWatch r="G63194"/>
    <cellWatch r="G63195"/>
    <cellWatch r="G63196"/>
    <cellWatch r="G63197"/>
    <cellWatch r="G63198"/>
    <cellWatch r="G63199"/>
    <cellWatch r="G63200"/>
    <cellWatch r="G63201"/>
    <cellWatch r="G63202"/>
    <cellWatch r="G63203"/>
    <cellWatch r="G63204"/>
    <cellWatch r="G63205"/>
    <cellWatch r="G63206"/>
    <cellWatch r="G63207"/>
    <cellWatch r="G63208"/>
    <cellWatch r="G63209"/>
    <cellWatch r="G63210"/>
    <cellWatch r="G63211"/>
    <cellWatch r="G63212"/>
    <cellWatch r="G63213"/>
    <cellWatch r="G63214"/>
    <cellWatch r="G63215"/>
    <cellWatch r="G63216"/>
    <cellWatch r="G63217"/>
    <cellWatch r="G63218"/>
    <cellWatch r="G63219"/>
    <cellWatch r="G63220"/>
    <cellWatch r="G63221"/>
    <cellWatch r="G63222"/>
    <cellWatch r="G63223"/>
    <cellWatch r="G63224"/>
    <cellWatch r="G63225"/>
    <cellWatch r="G63226"/>
    <cellWatch r="G63227"/>
    <cellWatch r="G63228"/>
    <cellWatch r="G63229"/>
    <cellWatch r="G63230"/>
    <cellWatch r="G63231"/>
    <cellWatch r="G63232"/>
    <cellWatch r="G63233"/>
    <cellWatch r="G63234"/>
    <cellWatch r="G63235"/>
    <cellWatch r="G63236"/>
    <cellWatch r="G63237"/>
    <cellWatch r="G63238"/>
    <cellWatch r="G63239"/>
    <cellWatch r="G63240"/>
    <cellWatch r="G63241"/>
    <cellWatch r="G63242"/>
    <cellWatch r="G63243"/>
    <cellWatch r="G63244"/>
    <cellWatch r="G63245"/>
    <cellWatch r="G63246"/>
    <cellWatch r="G63247"/>
    <cellWatch r="G63248"/>
    <cellWatch r="G63249"/>
    <cellWatch r="G63250"/>
    <cellWatch r="G63251"/>
    <cellWatch r="G63252"/>
    <cellWatch r="G63253"/>
    <cellWatch r="G63254"/>
    <cellWatch r="G63255"/>
    <cellWatch r="G63256"/>
    <cellWatch r="G63257"/>
    <cellWatch r="G63258"/>
    <cellWatch r="G63259"/>
    <cellWatch r="G63260"/>
    <cellWatch r="G63261"/>
    <cellWatch r="G63262"/>
    <cellWatch r="G63263"/>
    <cellWatch r="G63264"/>
    <cellWatch r="G63265"/>
    <cellWatch r="G63266"/>
    <cellWatch r="G63267"/>
    <cellWatch r="G63268"/>
    <cellWatch r="G63269"/>
    <cellWatch r="G63270"/>
    <cellWatch r="G63271"/>
    <cellWatch r="G63272"/>
    <cellWatch r="G63273"/>
    <cellWatch r="G63274"/>
    <cellWatch r="G63275"/>
    <cellWatch r="G63276"/>
    <cellWatch r="G63277"/>
    <cellWatch r="G63278"/>
    <cellWatch r="G63279"/>
    <cellWatch r="G63280"/>
    <cellWatch r="G63281"/>
    <cellWatch r="G63282"/>
    <cellWatch r="G63283"/>
    <cellWatch r="G63284"/>
    <cellWatch r="G63285"/>
    <cellWatch r="G63286"/>
    <cellWatch r="G63287"/>
    <cellWatch r="G63288"/>
    <cellWatch r="G63289"/>
    <cellWatch r="G63290"/>
    <cellWatch r="G63291"/>
    <cellWatch r="G63292"/>
    <cellWatch r="G63293"/>
    <cellWatch r="G63294"/>
    <cellWatch r="G63295"/>
    <cellWatch r="G63296"/>
    <cellWatch r="G63297"/>
    <cellWatch r="G63298"/>
    <cellWatch r="G63299"/>
    <cellWatch r="G63300"/>
    <cellWatch r="G63301"/>
    <cellWatch r="G63302"/>
    <cellWatch r="G63303"/>
    <cellWatch r="G63304"/>
    <cellWatch r="G63305"/>
    <cellWatch r="G63306"/>
    <cellWatch r="G63307"/>
    <cellWatch r="G63308"/>
    <cellWatch r="G63309"/>
    <cellWatch r="G63310"/>
    <cellWatch r="G63311"/>
    <cellWatch r="G63312"/>
    <cellWatch r="G63313"/>
    <cellWatch r="G63314"/>
    <cellWatch r="G63315"/>
    <cellWatch r="G63316"/>
    <cellWatch r="G63317"/>
    <cellWatch r="G63318"/>
    <cellWatch r="G63319"/>
    <cellWatch r="G63320"/>
    <cellWatch r="G63321"/>
    <cellWatch r="G63322"/>
    <cellWatch r="G63323"/>
    <cellWatch r="G63324"/>
    <cellWatch r="G63325"/>
    <cellWatch r="G63326"/>
    <cellWatch r="G63327"/>
    <cellWatch r="G63328"/>
    <cellWatch r="G63329"/>
    <cellWatch r="G63330"/>
    <cellWatch r="G63331"/>
    <cellWatch r="G63332"/>
    <cellWatch r="G63333"/>
    <cellWatch r="G63334"/>
    <cellWatch r="G63335"/>
    <cellWatch r="G63336"/>
    <cellWatch r="G63337"/>
    <cellWatch r="G63338"/>
    <cellWatch r="G63339"/>
    <cellWatch r="G63340"/>
    <cellWatch r="G63341"/>
    <cellWatch r="G63342"/>
    <cellWatch r="G63343"/>
    <cellWatch r="G63344"/>
    <cellWatch r="G63345"/>
    <cellWatch r="G63346"/>
    <cellWatch r="G63347"/>
    <cellWatch r="G63348"/>
    <cellWatch r="G63349"/>
    <cellWatch r="G63350"/>
    <cellWatch r="G63351"/>
    <cellWatch r="G63352"/>
    <cellWatch r="G63353"/>
    <cellWatch r="G63354"/>
    <cellWatch r="G63355"/>
    <cellWatch r="G63356"/>
    <cellWatch r="G63357"/>
    <cellWatch r="G63358"/>
    <cellWatch r="G63359"/>
    <cellWatch r="G63360"/>
    <cellWatch r="G63361"/>
    <cellWatch r="G63362"/>
    <cellWatch r="G63363"/>
    <cellWatch r="G63364"/>
    <cellWatch r="G63365"/>
    <cellWatch r="G63366"/>
    <cellWatch r="G63367"/>
    <cellWatch r="G63368"/>
    <cellWatch r="G63369"/>
    <cellWatch r="G63370"/>
    <cellWatch r="G63371"/>
    <cellWatch r="G63372"/>
    <cellWatch r="G63373"/>
    <cellWatch r="G63374"/>
    <cellWatch r="G63375"/>
    <cellWatch r="G63376"/>
    <cellWatch r="G63377"/>
    <cellWatch r="G63378"/>
    <cellWatch r="G63379"/>
    <cellWatch r="G63380"/>
    <cellWatch r="G63381"/>
    <cellWatch r="G63382"/>
    <cellWatch r="G63383"/>
    <cellWatch r="G63384"/>
    <cellWatch r="G63385"/>
    <cellWatch r="G63386"/>
    <cellWatch r="G63387"/>
    <cellWatch r="G63388"/>
    <cellWatch r="G63389"/>
    <cellWatch r="G63390"/>
    <cellWatch r="G63391"/>
    <cellWatch r="G63392"/>
    <cellWatch r="G63393"/>
    <cellWatch r="G63394"/>
    <cellWatch r="G63395"/>
    <cellWatch r="G63396"/>
    <cellWatch r="G63397"/>
    <cellWatch r="G63398"/>
    <cellWatch r="G63399"/>
    <cellWatch r="G63400"/>
    <cellWatch r="G63401"/>
    <cellWatch r="G63402"/>
    <cellWatch r="G63403"/>
    <cellWatch r="G63404"/>
    <cellWatch r="G63405"/>
    <cellWatch r="G63406"/>
    <cellWatch r="G63407"/>
    <cellWatch r="G63408"/>
    <cellWatch r="G63409"/>
    <cellWatch r="G63410"/>
    <cellWatch r="G63411"/>
    <cellWatch r="G63412"/>
    <cellWatch r="G63413"/>
    <cellWatch r="G63414"/>
    <cellWatch r="G63415"/>
    <cellWatch r="G63416"/>
    <cellWatch r="G63417"/>
    <cellWatch r="G63418"/>
    <cellWatch r="G63419"/>
    <cellWatch r="G63420"/>
    <cellWatch r="G63421"/>
    <cellWatch r="G63422"/>
    <cellWatch r="G63423"/>
    <cellWatch r="G63424"/>
    <cellWatch r="G63425"/>
    <cellWatch r="G63426"/>
    <cellWatch r="G63427"/>
    <cellWatch r="G63428"/>
    <cellWatch r="G63429"/>
    <cellWatch r="G63430"/>
    <cellWatch r="G63431"/>
    <cellWatch r="G63432"/>
    <cellWatch r="G63433"/>
    <cellWatch r="G63434"/>
    <cellWatch r="G63435"/>
    <cellWatch r="G63436"/>
    <cellWatch r="G63437"/>
    <cellWatch r="G63438"/>
    <cellWatch r="G63439"/>
    <cellWatch r="G63440"/>
    <cellWatch r="G63441"/>
    <cellWatch r="G63442"/>
    <cellWatch r="G63443"/>
    <cellWatch r="G63444"/>
    <cellWatch r="G63445"/>
    <cellWatch r="G63446"/>
    <cellWatch r="G63447"/>
    <cellWatch r="G63448"/>
    <cellWatch r="G63449"/>
    <cellWatch r="G63450"/>
    <cellWatch r="G63451"/>
    <cellWatch r="G63452"/>
    <cellWatch r="G63453"/>
    <cellWatch r="G63454"/>
    <cellWatch r="G63455"/>
    <cellWatch r="G63456"/>
    <cellWatch r="G63457"/>
    <cellWatch r="G63458"/>
    <cellWatch r="G63459"/>
    <cellWatch r="G63460"/>
    <cellWatch r="G63461"/>
    <cellWatch r="G63462"/>
    <cellWatch r="G63463"/>
    <cellWatch r="G63464"/>
    <cellWatch r="G63465"/>
    <cellWatch r="G63466"/>
    <cellWatch r="G63467"/>
    <cellWatch r="G63468"/>
    <cellWatch r="G63469"/>
    <cellWatch r="G63470"/>
    <cellWatch r="G63471"/>
    <cellWatch r="G63472"/>
    <cellWatch r="G63473"/>
    <cellWatch r="G63474"/>
    <cellWatch r="G63475"/>
    <cellWatch r="G63476"/>
    <cellWatch r="G63477"/>
    <cellWatch r="G63478"/>
    <cellWatch r="G63479"/>
    <cellWatch r="G63480"/>
    <cellWatch r="G63481"/>
    <cellWatch r="G63482"/>
    <cellWatch r="G63483"/>
    <cellWatch r="G63484"/>
    <cellWatch r="G63485"/>
    <cellWatch r="G63486"/>
    <cellWatch r="G63487"/>
    <cellWatch r="G63488"/>
    <cellWatch r="G63489"/>
    <cellWatch r="G63490"/>
    <cellWatch r="G63491"/>
    <cellWatch r="G63492"/>
    <cellWatch r="G63493"/>
    <cellWatch r="G63494"/>
    <cellWatch r="G63495"/>
    <cellWatch r="G63496"/>
    <cellWatch r="G63497"/>
    <cellWatch r="G63498"/>
    <cellWatch r="G63499"/>
    <cellWatch r="G63500"/>
    <cellWatch r="G63501"/>
    <cellWatch r="G63502"/>
    <cellWatch r="G63503"/>
    <cellWatch r="G63504"/>
    <cellWatch r="G63505"/>
    <cellWatch r="G63506"/>
    <cellWatch r="G63507"/>
    <cellWatch r="G63508"/>
    <cellWatch r="G63509"/>
    <cellWatch r="G63510"/>
    <cellWatch r="G63511"/>
    <cellWatch r="G63512"/>
    <cellWatch r="G63513"/>
    <cellWatch r="G63514"/>
    <cellWatch r="G63515"/>
    <cellWatch r="G63516"/>
    <cellWatch r="G63517"/>
    <cellWatch r="G63518"/>
    <cellWatch r="G63519"/>
    <cellWatch r="G63520"/>
    <cellWatch r="G63521"/>
    <cellWatch r="G63522"/>
    <cellWatch r="G63523"/>
    <cellWatch r="G63524"/>
    <cellWatch r="G63525"/>
    <cellWatch r="G63526"/>
    <cellWatch r="G63527"/>
    <cellWatch r="G63528"/>
    <cellWatch r="G63529"/>
    <cellWatch r="G63530"/>
    <cellWatch r="G63531"/>
    <cellWatch r="G63532"/>
    <cellWatch r="G63533"/>
    <cellWatch r="G63534"/>
    <cellWatch r="G63535"/>
    <cellWatch r="G63536"/>
    <cellWatch r="G63537"/>
    <cellWatch r="G63538"/>
    <cellWatch r="G63539"/>
    <cellWatch r="G63540"/>
    <cellWatch r="G63541"/>
    <cellWatch r="G63542"/>
    <cellWatch r="G63543"/>
    <cellWatch r="G63544"/>
    <cellWatch r="G63545"/>
    <cellWatch r="G63546"/>
    <cellWatch r="G63547"/>
    <cellWatch r="G63548"/>
    <cellWatch r="G63549"/>
    <cellWatch r="G63550"/>
    <cellWatch r="G63551"/>
    <cellWatch r="G63552"/>
    <cellWatch r="G63553"/>
    <cellWatch r="G63554"/>
    <cellWatch r="G63555"/>
    <cellWatch r="G63556"/>
    <cellWatch r="G63557"/>
    <cellWatch r="G63558"/>
    <cellWatch r="G63559"/>
    <cellWatch r="G63560"/>
    <cellWatch r="G63561"/>
    <cellWatch r="G63562"/>
    <cellWatch r="G63563"/>
    <cellWatch r="G63564"/>
    <cellWatch r="G63565"/>
    <cellWatch r="G63566"/>
    <cellWatch r="G63567"/>
    <cellWatch r="G63568"/>
    <cellWatch r="G63569"/>
    <cellWatch r="G63570"/>
    <cellWatch r="G63571"/>
    <cellWatch r="G63572"/>
    <cellWatch r="G63573"/>
    <cellWatch r="G63574"/>
    <cellWatch r="G63575"/>
    <cellWatch r="G63576"/>
    <cellWatch r="G63577"/>
    <cellWatch r="G63578"/>
    <cellWatch r="G63579"/>
    <cellWatch r="G63580"/>
    <cellWatch r="G63581"/>
    <cellWatch r="G63582"/>
    <cellWatch r="G63583"/>
    <cellWatch r="G63584"/>
    <cellWatch r="G63585"/>
    <cellWatch r="G63586"/>
    <cellWatch r="G63587"/>
    <cellWatch r="G63588"/>
    <cellWatch r="G63589"/>
    <cellWatch r="G63590"/>
    <cellWatch r="G63591"/>
    <cellWatch r="G63592"/>
    <cellWatch r="G63593"/>
    <cellWatch r="G63594"/>
    <cellWatch r="G63595"/>
    <cellWatch r="G63596"/>
    <cellWatch r="G63597"/>
    <cellWatch r="G63598"/>
    <cellWatch r="G63599"/>
    <cellWatch r="G63600"/>
    <cellWatch r="G63601"/>
    <cellWatch r="G63602"/>
    <cellWatch r="G63603"/>
    <cellWatch r="G63604"/>
    <cellWatch r="G63605"/>
    <cellWatch r="G63606"/>
    <cellWatch r="G63607"/>
    <cellWatch r="G63608"/>
    <cellWatch r="G63609"/>
    <cellWatch r="G63610"/>
    <cellWatch r="G63611"/>
    <cellWatch r="G63612"/>
    <cellWatch r="G63613"/>
    <cellWatch r="G63614"/>
    <cellWatch r="G63615"/>
    <cellWatch r="G63616"/>
    <cellWatch r="G63617"/>
    <cellWatch r="G63618"/>
    <cellWatch r="G63619"/>
    <cellWatch r="G63620"/>
    <cellWatch r="G63621"/>
    <cellWatch r="G63622"/>
    <cellWatch r="G63623"/>
    <cellWatch r="G63624"/>
    <cellWatch r="G63625"/>
    <cellWatch r="G63626"/>
    <cellWatch r="G63627"/>
    <cellWatch r="G63628"/>
    <cellWatch r="G63629"/>
    <cellWatch r="G63630"/>
    <cellWatch r="G63631"/>
    <cellWatch r="G63632"/>
    <cellWatch r="G63633"/>
    <cellWatch r="G63634"/>
    <cellWatch r="G63635"/>
    <cellWatch r="G63636"/>
    <cellWatch r="G63637"/>
    <cellWatch r="G63638"/>
    <cellWatch r="G63639"/>
    <cellWatch r="G63640"/>
    <cellWatch r="G63641"/>
    <cellWatch r="G63642"/>
    <cellWatch r="G63643"/>
    <cellWatch r="G63644"/>
    <cellWatch r="G63645"/>
    <cellWatch r="G63646"/>
    <cellWatch r="G63647"/>
    <cellWatch r="G63648"/>
    <cellWatch r="G63649"/>
    <cellWatch r="G63650"/>
    <cellWatch r="G63651"/>
    <cellWatch r="G63652"/>
    <cellWatch r="G63653"/>
    <cellWatch r="G63654"/>
    <cellWatch r="G63655"/>
    <cellWatch r="G63656"/>
    <cellWatch r="G63657"/>
    <cellWatch r="G63658"/>
    <cellWatch r="G63659"/>
    <cellWatch r="G63660"/>
    <cellWatch r="G63661"/>
    <cellWatch r="G63662"/>
    <cellWatch r="G63663"/>
    <cellWatch r="G63664"/>
    <cellWatch r="G63665"/>
    <cellWatch r="G63666"/>
    <cellWatch r="G63667"/>
    <cellWatch r="G63668"/>
    <cellWatch r="G63669"/>
    <cellWatch r="G63670"/>
    <cellWatch r="G63671"/>
    <cellWatch r="G63672"/>
    <cellWatch r="G63673"/>
    <cellWatch r="G63674"/>
    <cellWatch r="G63675"/>
    <cellWatch r="G63676"/>
    <cellWatch r="G63677"/>
    <cellWatch r="G63678"/>
    <cellWatch r="G63679"/>
    <cellWatch r="G63680"/>
    <cellWatch r="G63681"/>
    <cellWatch r="G63682"/>
    <cellWatch r="G63683"/>
    <cellWatch r="G63684"/>
    <cellWatch r="G63685"/>
    <cellWatch r="G63686"/>
    <cellWatch r="G63687"/>
    <cellWatch r="G63688"/>
    <cellWatch r="G63689"/>
    <cellWatch r="G63690"/>
    <cellWatch r="G63691"/>
    <cellWatch r="G63692"/>
    <cellWatch r="G63693"/>
    <cellWatch r="G63694"/>
    <cellWatch r="G63695"/>
    <cellWatch r="G63696"/>
    <cellWatch r="G63697"/>
    <cellWatch r="G63698"/>
    <cellWatch r="G63699"/>
    <cellWatch r="G63700"/>
    <cellWatch r="G63701"/>
    <cellWatch r="G63702"/>
    <cellWatch r="G63703"/>
    <cellWatch r="G63704"/>
    <cellWatch r="G63705"/>
    <cellWatch r="G63706"/>
    <cellWatch r="G63707"/>
    <cellWatch r="G63708"/>
    <cellWatch r="G63709"/>
    <cellWatch r="G63710"/>
    <cellWatch r="G63711"/>
    <cellWatch r="G63712"/>
    <cellWatch r="G63713"/>
    <cellWatch r="G63714"/>
    <cellWatch r="G63715"/>
    <cellWatch r="G63716"/>
    <cellWatch r="G63717"/>
    <cellWatch r="G63718"/>
    <cellWatch r="G63719"/>
    <cellWatch r="G63720"/>
    <cellWatch r="G63721"/>
    <cellWatch r="G63722"/>
    <cellWatch r="G63723"/>
    <cellWatch r="G63724"/>
    <cellWatch r="G63725"/>
    <cellWatch r="G63726"/>
    <cellWatch r="G63727"/>
    <cellWatch r="G63728"/>
    <cellWatch r="G63729"/>
    <cellWatch r="G63730"/>
    <cellWatch r="G63731"/>
    <cellWatch r="G63732"/>
    <cellWatch r="G63733"/>
    <cellWatch r="G63734"/>
    <cellWatch r="G63735"/>
    <cellWatch r="G63736"/>
    <cellWatch r="G63737"/>
    <cellWatch r="G63738"/>
    <cellWatch r="G63739"/>
    <cellWatch r="G63740"/>
    <cellWatch r="G63741"/>
    <cellWatch r="G63742"/>
    <cellWatch r="G63743"/>
    <cellWatch r="G63744"/>
    <cellWatch r="G63745"/>
    <cellWatch r="G63746"/>
    <cellWatch r="G63747"/>
    <cellWatch r="G63748"/>
    <cellWatch r="G63749"/>
    <cellWatch r="G63750"/>
    <cellWatch r="G63751"/>
    <cellWatch r="G63752"/>
    <cellWatch r="G63753"/>
    <cellWatch r="G63754"/>
    <cellWatch r="G63755"/>
    <cellWatch r="G63756"/>
    <cellWatch r="G63757"/>
    <cellWatch r="G63758"/>
    <cellWatch r="G63759"/>
    <cellWatch r="G63760"/>
    <cellWatch r="G63761"/>
    <cellWatch r="G63762"/>
    <cellWatch r="G63763"/>
    <cellWatch r="G63764"/>
    <cellWatch r="G63765"/>
    <cellWatch r="G63766"/>
    <cellWatch r="G63767"/>
    <cellWatch r="G63768"/>
    <cellWatch r="G63769"/>
    <cellWatch r="G63770"/>
    <cellWatch r="G63771"/>
    <cellWatch r="G63772"/>
    <cellWatch r="G63773"/>
    <cellWatch r="G63774"/>
    <cellWatch r="G63775"/>
    <cellWatch r="G63776"/>
    <cellWatch r="G63777"/>
    <cellWatch r="G63778"/>
    <cellWatch r="G63779"/>
    <cellWatch r="G63780"/>
    <cellWatch r="G63781"/>
    <cellWatch r="G63782"/>
    <cellWatch r="G63783"/>
    <cellWatch r="G63784"/>
    <cellWatch r="G63785"/>
    <cellWatch r="G63786"/>
    <cellWatch r="G63787"/>
    <cellWatch r="G63788"/>
    <cellWatch r="G63789"/>
    <cellWatch r="G63790"/>
    <cellWatch r="G63791"/>
    <cellWatch r="G63792"/>
    <cellWatch r="G63793"/>
    <cellWatch r="G63794"/>
    <cellWatch r="G63795"/>
    <cellWatch r="G63796"/>
    <cellWatch r="G63797"/>
    <cellWatch r="G63798"/>
    <cellWatch r="G63799"/>
    <cellWatch r="G63800"/>
    <cellWatch r="G63801"/>
    <cellWatch r="G63802"/>
    <cellWatch r="G63803"/>
    <cellWatch r="G63804"/>
    <cellWatch r="G63805"/>
    <cellWatch r="G63806"/>
    <cellWatch r="G63807"/>
    <cellWatch r="G63808"/>
    <cellWatch r="G63809"/>
    <cellWatch r="G63810"/>
    <cellWatch r="G63811"/>
    <cellWatch r="G63812"/>
    <cellWatch r="G63813"/>
    <cellWatch r="G63814"/>
    <cellWatch r="G63815"/>
    <cellWatch r="G63816"/>
    <cellWatch r="G63817"/>
    <cellWatch r="G63818"/>
    <cellWatch r="G63819"/>
    <cellWatch r="G63820"/>
    <cellWatch r="G63821"/>
    <cellWatch r="G63822"/>
    <cellWatch r="G63823"/>
    <cellWatch r="G63824"/>
    <cellWatch r="G63825"/>
    <cellWatch r="G63826"/>
    <cellWatch r="G63827"/>
    <cellWatch r="G63828"/>
    <cellWatch r="G63829"/>
    <cellWatch r="G63830"/>
    <cellWatch r="G63831"/>
    <cellWatch r="G63832"/>
    <cellWatch r="G63833"/>
    <cellWatch r="G63834"/>
    <cellWatch r="G63835"/>
    <cellWatch r="G63836"/>
    <cellWatch r="G63837"/>
    <cellWatch r="G63838"/>
    <cellWatch r="G63839"/>
    <cellWatch r="G63840"/>
    <cellWatch r="G63841"/>
    <cellWatch r="G63842"/>
    <cellWatch r="G63843"/>
    <cellWatch r="G63844"/>
    <cellWatch r="G63845"/>
    <cellWatch r="G63846"/>
    <cellWatch r="G63847"/>
    <cellWatch r="G63848"/>
    <cellWatch r="G63849"/>
    <cellWatch r="G63850"/>
    <cellWatch r="G63851"/>
    <cellWatch r="G63852"/>
    <cellWatch r="G63853"/>
    <cellWatch r="G63854"/>
    <cellWatch r="G63855"/>
    <cellWatch r="G63856"/>
    <cellWatch r="G63857"/>
    <cellWatch r="G63858"/>
    <cellWatch r="G63859"/>
    <cellWatch r="G63860"/>
    <cellWatch r="G63861"/>
    <cellWatch r="G63862"/>
    <cellWatch r="G63863"/>
    <cellWatch r="G63864"/>
    <cellWatch r="G63865"/>
    <cellWatch r="G63866"/>
    <cellWatch r="G63867"/>
    <cellWatch r="G63868"/>
    <cellWatch r="G63869"/>
    <cellWatch r="G63870"/>
    <cellWatch r="G63871"/>
    <cellWatch r="G63872"/>
    <cellWatch r="G63873"/>
    <cellWatch r="G63874"/>
    <cellWatch r="G63875"/>
    <cellWatch r="G63876"/>
    <cellWatch r="G63877"/>
    <cellWatch r="G63878"/>
    <cellWatch r="G63879"/>
    <cellWatch r="G63880"/>
    <cellWatch r="G63881"/>
    <cellWatch r="G63882"/>
    <cellWatch r="G63883"/>
    <cellWatch r="G63884"/>
    <cellWatch r="G63885"/>
    <cellWatch r="G63886"/>
    <cellWatch r="G63887"/>
    <cellWatch r="G63888"/>
    <cellWatch r="G63889"/>
    <cellWatch r="G63890"/>
    <cellWatch r="G63891"/>
    <cellWatch r="G63892"/>
    <cellWatch r="G63893"/>
    <cellWatch r="G63894"/>
    <cellWatch r="G63895"/>
    <cellWatch r="G63896"/>
    <cellWatch r="G63897"/>
    <cellWatch r="G63898"/>
    <cellWatch r="G63899"/>
    <cellWatch r="G63900"/>
    <cellWatch r="G63901"/>
    <cellWatch r="G63902"/>
    <cellWatch r="G63903"/>
    <cellWatch r="G63904"/>
    <cellWatch r="G63905"/>
    <cellWatch r="G63906"/>
    <cellWatch r="G63907"/>
    <cellWatch r="G63908"/>
    <cellWatch r="G63909"/>
    <cellWatch r="G63910"/>
    <cellWatch r="G63911"/>
    <cellWatch r="G63912"/>
    <cellWatch r="G63913"/>
    <cellWatch r="G63914"/>
    <cellWatch r="G63915"/>
    <cellWatch r="G63916"/>
    <cellWatch r="G63917"/>
    <cellWatch r="G63918"/>
    <cellWatch r="G63919"/>
    <cellWatch r="G63920"/>
    <cellWatch r="G63921"/>
    <cellWatch r="G63922"/>
    <cellWatch r="G63923"/>
    <cellWatch r="G63924"/>
    <cellWatch r="G63925"/>
    <cellWatch r="G63926"/>
    <cellWatch r="G63927"/>
    <cellWatch r="G63928"/>
    <cellWatch r="G63929"/>
    <cellWatch r="G63930"/>
    <cellWatch r="G63931"/>
    <cellWatch r="G63932"/>
    <cellWatch r="G63933"/>
    <cellWatch r="G63934"/>
    <cellWatch r="G63935"/>
    <cellWatch r="G63936"/>
    <cellWatch r="G63937"/>
    <cellWatch r="G63938"/>
    <cellWatch r="G63939"/>
    <cellWatch r="G63940"/>
    <cellWatch r="G63941"/>
    <cellWatch r="G63942"/>
    <cellWatch r="G63943"/>
    <cellWatch r="G63944"/>
    <cellWatch r="G63945"/>
    <cellWatch r="G63946"/>
    <cellWatch r="G63947"/>
    <cellWatch r="G63948"/>
    <cellWatch r="G63949"/>
    <cellWatch r="G63950"/>
    <cellWatch r="G63951"/>
    <cellWatch r="G63952"/>
    <cellWatch r="G63953"/>
    <cellWatch r="G63954"/>
    <cellWatch r="G63955"/>
    <cellWatch r="G63956"/>
    <cellWatch r="G63957"/>
    <cellWatch r="G63958"/>
    <cellWatch r="G63959"/>
    <cellWatch r="G63960"/>
    <cellWatch r="G63961"/>
    <cellWatch r="G63962"/>
    <cellWatch r="G63963"/>
    <cellWatch r="G63964"/>
    <cellWatch r="G63965"/>
    <cellWatch r="G63966"/>
    <cellWatch r="G63967"/>
    <cellWatch r="G63968"/>
    <cellWatch r="G63969"/>
    <cellWatch r="G63970"/>
    <cellWatch r="G63971"/>
    <cellWatch r="G63972"/>
    <cellWatch r="G63973"/>
    <cellWatch r="G63974"/>
    <cellWatch r="G63975"/>
    <cellWatch r="G63976"/>
    <cellWatch r="G63977"/>
    <cellWatch r="G63978"/>
    <cellWatch r="G63979"/>
    <cellWatch r="G63980"/>
    <cellWatch r="G63981"/>
    <cellWatch r="G63982"/>
    <cellWatch r="G63983"/>
    <cellWatch r="G63984"/>
    <cellWatch r="G63985"/>
    <cellWatch r="G63986"/>
    <cellWatch r="G63987"/>
    <cellWatch r="G63988"/>
    <cellWatch r="G63989"/>
    <cellWatch r="G63990"/>
    <cellWatch r="G63991"/>
    <cellWatch r="G63992"/>
    <cellWatch r="G63993"/>
    <cellWatch r="G63994"/>
    <cellWatch r="G63995"/>
    <cellWatch r="G63996"/>
    <cellWatch r="G63997"/>
    <cellWatch r="G63998"/>
    <cellWatch r="G63999"/>
    <cellWatch r="G64000"/>
    <cellWatch r="G64001"/>
    <cellWatch r="G64002"/>
    <cellWatch r="G64003"/>
    <cellWatch r="G64004"/>
    <cellWatch r="G64005"/>
    <cellWatch r="G64006"/>
    <cellWatch r="G64007"/>
    <cellWatch r="G64008"/>
    <cellWatch r="G64009"/>
    <cellWatch r="G64010"/>
    <cellWatch r="G64011"/>
    <cellWatch r="G64012"/>
    <cellWatch r="G64013"/>
    <cellWatch r="G64014"/>
    <cellWatch r="G64015"/>
    <cellWatch r="G64016"/>
    <cellWatch r="G64017"/>
    <cellWatch r="G64018"/>
    <cellWatch r="G64019"/>
    <cellWatch r="G64020"/>
    <cellWatch r="G64021"/>
    <cellWatch r="G64022"/>
    <cellWatch r="G64023"/>
    <cellWatch r="G64024"/>
    <cellWatch r="G64025"/>
    <cellWatch r="G64026"/>
    <cellWatch r="G64027"/>
    <cellWatch r="G64028"/>
    <cellWatch r="G64029"/>
    <cellWatch r="G64030"/>
    <cellWatch r="G64031"/>
    <cellWatch r="G64032"/>
    <cellWatch r="G64033"/>
    <cellWatch r="G64034"/>
    <cellWatch r="G64035"/>
    <cellWatch r="G64036"/>
    <cellWatch r="G64037"/>
    <cellWatch r="G64038"/>
    <cellWatch r="G64039"/>
    <cellWatch r="G64040"/>
    <cellWatch r="G64041"/>
    <cellWatch r="G64042"/>
    <cellWatch r="G64043"/>
    <cellWatch r="G64044"/>
    <cellWatch r="G64045"/>
    <cellWatch r="G64046"/>
    <cellWatch r="G64047"/>
    <cellWatch r="G64048"/>
    <cellWatch r="G64049"/>
    <cellWatch r="G64050"/>
    <cellWatch r="G64051"/>
    <cellWatch r="G64052"/>
    <cellWatch r="G64053"/>
    <cellWatch r="G64054"/>
    <cellWatch r="G64055"/>
    <cellWatch r="G64056"/>
    <cellWatch r="G64057"/>
    <cellWatch r="G64058"/>
    <cellWatch r="G64059"/>
    <cellWatch r="G64060"/>
    <cellWatch r="G64061"/>
    <cellWatch r="G64062"/>
    <cellWatch r="G64063"/>
    <cellWatch r="G64064"/>
    <cellWatch r="G64065"/>
    <cellWatch r="G64066"/>
    <cellWatch r="G64067"/>
    <cellWatch r="G64068"/>
    <cellWatch r="G64069"/>
    <cellWatch r="G64070"/>
    <cellWatch r="G64071"/>
    <cellWatch r="G64072"/>
    <cellWatch r="G64073"/>
    <cellWatch r="G64074"/>
    <cellWatch r="G64075"/>
    <cellWatch r="G64076"/>
    <cellWatch r="G64077"/>
    <cellWatch r="G64078"/>
    <cellWatch r="G64079"/>
    <cellWatch r="G64080"/>
    <cellWatch r="G64081"/>
    <cellWatch r="G64082"/>
    <cellWatch r="G64083"/>
    <cellWatch r="G64084"/>
    <cellWatch r="G64085"/>
    <cellWatch r="G64086"/>
    <cellWatch r="G64087"/>
    <cellWatch r="G64088"/>
    <cellWatch r="G64089"/>
    <cellWatch r="G64090"/>
    <cellWatch r="G64091"/>
    <cellWatch r="G64092"/>
    <cellWatch r="G64093"/>
    <cellWatch r="G64094"/>
    <cellWatch r="G64095"/>
    <cellWatch r="G64096"/>
    <cellWatch r="G64097"/>
    <cellWatch r="G64098"/>
    <cellWatch r="G64099"/>
    <cellWatch r="G64100"/>
    <cellWatch r="G64101"/>
    <cellWatch r="G64102"/>
    <cellWatch r="G64103"/>
    <cellWatch r="G64104"/>
    <cellWatch r="G64105"/>
    <cellWatch r="G64106"/>
    <cellWatch r="G64107"/>
    <cellWatch r="G64108"/>
    <cellWatch r="G64109"/>
    <cellWatch r="G64110"/>
    <cellWatch r="G64111"/>
    <cellWatch r="G64112"/>
    <cellWatch r="G64113"/>
    <cellWatch r="G64114"/>
    <cellWatch r="G64115"/>
    <cellWatch r="G64116"/>
    <cellWatch r="G64117"/>
    <cellWatch r="G64118"/>
    <cellWatch r="G64119"/>
    <cellWatch r="G64120"/>
    <cellWatch r="G64121"/>
    <cellWatch r="G64122"/>
    <cellWatch r="G64123"/>
    <cellWatch r="G64124"/>
    <cellWatch r="G64125"/>
    <cellWatch r="G64126"/>
    <cellWatch r="G64127"/>
    <cellWatch r="G64128"/>
    <cellWatch r="G64129"/>
    <cellWatch r="G64130"/>
    <cellWatch r="G64131"/>
    <cellWatch r="G64132"/>
    <cellWatch r="G64133"/>
    <cellWatch r="G64134"/>
    <cellWatch r="G64135"/>
    <cellWatch r="G64136"/>
    <cellWatch r="G64137"/>
    <cellWatch r="G64138"/>
    <cellWatch r="G64139"/>
    <cellWatch r="G64140"/>
    <cellWatch r="G64141"/>
    <cellWatch r="G64142"/>
    <cellWatch r="G64143"/>
    <cellWatch r="G64144"/>
    <cellWatch r="G64145"/>
    <cellWatch r="G64146"/>
    <cellWatch r="G64147"/>
    <cellWatch r="G64148"/>
    <cellWatch r="G64149"/>
    <cellWatch r="G64150"/>
    <cellWatch r="G64151"/>
    <cellWatch r="G64152"/>
    <cellWatch r="G64153"/>
    <cellWatch r="G64154"/>
    <cellWatch r="G64155"/>
    <cellWatch r="G64156"/>
    <cellWatch r="G64157"/>
    <cellWatch r="G64158"/>
    <cellWatch r="G64159"/>
    <cellWatch r="G64160"/>
    <cellWatch r="G64161"/>
    <cellWatch r="G64162"/>
    <cellWatch r="G64163"/>
    <cellWatch r="G64164"/>
    <cellWatch r="G64165"/>
    <cellWatch r="G64166"/>
    <cellWatch r="G64167"/>
    <cellWatch r="G64168"/>
    <cellWatch r="G64169"/>
    <cellWatch r="G64170"/>
    <cellWatch r="G64171"/>
    <cellWatch r="G64172"/>
    <cellWatch r="G64173"/>
    <cellWatch r="G64174"/>
    <cellWatch r="G64175"/>
    <cellWatch r="G64176"/>
    <cellWatch r="G64177"/>
    <cellWatch r="G64178"/>
    <cellWatch r="G64179"/>
    <cellWatch r="G64180"/>
    <cellWatch r="G64181"/>
    <cellWatch r="G64182"/>
    <cellWatch r="G64183"/>
    <cellWatch r="G64184"/>
    <cellWatch r="G64185"/>
    <cellWatch r="G64186"/>
    <cellWatch r="G64187"/>
    <cellWatch r="G64188"/>
    <cellWatch r="G64189"/>
    <cellWatch r="G64190"/>
    <cellWatch r="G64191"/>
    <cellWatch r="G64192"/>
    <cellWatch r="G64193"/>
    <cellWatch r="G64194"/>
    <cellWatch r="G64195"/>
    <cellWatch r="G64196"/>
    <cellWatch r="G64197"/>
    <cellWatch r="G64198"/>
    <cellWatch r="G64199"/>
    <cellWatch r="G64200"/>
    <cellWatch r="G64201"/>
    <cellWatch r="G64202"/>
    <cellWatch r="G64203"/>
    <cellWatch r="G64204"/>
    <cellWatch r="G64205"/>
    <cellWatch r="G64206"/>
    <cellWatch r="G64207"/>
    <cellWatch r="G64208"/>
    <cellWatch r="G64209"/>
    <cellWatch r="G64210"/>
    <cellWatch r="G64211"/>
    <cellWatch r="G64212"/>
    <cellWatch r="G64213"/>
    <cellWatch r="G64214"/>
    <cellWatch r="G64215"/>
    <cellWatch r="G64216"/>
    <cellWatch r="G64217"/>
    <cellWatch r="G64218"/>
    <cellWatch r="G64219"/>
    <cellWatch r="G64220"/>
    <cellWatch r="G64221"/>
    <cellWatch r="G64222"/>
    <cellWatch r="G64223"/>
    <cellWatch r="G64224"/>
    <cellWatch r="G64225"/>
    <cellWatch r="G64226"/>
    <cellWatch r="G64227"/>
    <cellWatch r="G64228"/>
    <cellWatch r="G64229"/>
    <cellWatch r="G64230"/>
    <cellWatch r="G64231"/>
    <cellWatch r="G64232"/>
    <cellWatch r="G64233"/>
    <cellWatch r="G64234"/>
    <cellWatch r="G64235"/>
    <cellWatch r="G64236"/>
    <cellWatch r="G64237"/>
    <cellWatch r="G64238"/>
    <cellWatch r="G64239"/>
    <cellWatch r="G64240"/>
    <cellWatch r="G64241"/>
    <cellWatch r="G64242"/>
    <cellWatch r="G64243"/>
    <cellWatch r="G64244"/>
    <cellWatch r="G64245"/>
    <cellWatch r="G64246"/>
    <cellWatch r="G64247"/>
    <cellWatch r="G64248"/>
    <cellWatch r="G64249"/>
    <cellWatch r="G64250"/>
    <cellWatch r="G64251"/>
    <cellWatch r="G64252"/>
    <cellWatch r="G64253"/>
    <cellWatch r="G64254"/>
    <cellWatch r="G64255"/>
    <cellWatch r="G64256"/>
    <cellWatch r="G64257"/>
    <cellWatch r="G64258"/>
    <cellWatch r="G64259"/>
    <cellWatch r="G64260"/>
    <cellWatch r="G64261"/>
    <cellWatch r="G64262"/>
    <cellWatch r="G64263"/>
    <cellWatch r="G64264"/>
    <cellWatch r="G64265"/>
    <cellWatch r="G64266"/>
    <cellWatch r="G64267"/>
    <cellWatch r="G64268"/>
    <cellWatch r="G64269"/>
    <cellWatch r="G64270"/>
    <cellWatch r="G64271"/>
    <cellWatch r="G64272"/>
    <cellWatch r="G64273"/>
    <cellWatch r="G64274"/>
    <cellWatch r="G64275"/>
    <cellWatch r="G64276"/>
    <cellWatch r="G64277"/>
    <cellWatch r="G64278"/>
    <cellWatch r="G64279"/>
    <cellWatch r="G64280"/>
    <cellWatch r="G64281"/>
    <cellWatch r="G64282"/>
    <cellWatch r="G64283"/>
    <cellWatch r="G64284"/>
    <cellWatch r="G64285"/>
    <cellWatch r="G64286"/>
    <cellWatch r="G64287"/>
    <cellWatch r="G64288"/>
    <cellWatch r="G64289"/>
    <cellWatch r="G64290"/>
    <cellWatch r="G64291"/>
    <cellWatch r="G64292"/>
    <cellWatch r="G64293"/>
    <cellWatch r="G64294"/>
    <cellWatch r="G64295"/>
    <cellWatch r="G64296"/>
    <cellWatch r="G64297"/>
    <cellWatch r="G64298"/>
    <cellWatch r="G64299"/>
    <cellWatch r="G64300"/>
    <cellWatch r="G64301"/>
    <cellWatch r="G64302"/>
    <cellWatch r="G64303"/>
    <cellWatch r="G64304"/>
    <cellWatch r="G64305"/>
    <cellWatch r="G64306"/>
    <cellWatch r="G64307"/>
    <cellWatch r="G64308"/>
    <cellWatch r="G64309"/>
    <cellWatch r="G64310"/>
    <cellWatch r="G64311"/>
    <cellWatch r="G64312"/>
    <cellWatch r="G64313"/>
    <cellWatch r="G64314"/>
    <cellWatch r="G64315"/>
    <cellWatch r="G64316"/>
    <cellWatch r="G64317"/>
    <cellWatch r="G64318"/>
    <cellWatch r="G64319"/>
    <cellWatch r="G64320"/>
    <cellWatch r="G64321"/>
    <cellWatch r="G64322"/>
    <cellWatch r="G64323"/>
    <cellWatch r="G64324"/>
    <cellWatch r="G64325"/>
    <cellWatch r="G64326"/>
    <cellWatch r="G64327"/>
    <cellWatch r="G64328"/>
    <cellWatch r="G64329"/>
    <cellWatch r="G64330"/>
    <cellWatch r="G64331"/>
    <cellWatch r="G64332"/>
    <cellWatch r="G64333"/>
    <cellWatch r="G64334"/>
    <cellWatch r="G64335"/>
    <cellWatch r="G64336"/>
    <cellWatch r="G64337"/>
    <cellWatch r="G64338"/>
    <cellWatch r="G64339"/>
    <cellWatch r="G64340"/>
    <cellWatch r="G64341"/>
    <cellWatch r="G64342"/>
    <cellWatch r="G64343"/>
    <cellWatch r="G64344"/>
    <cellWatch r="G64345"/>
    <cellWatch r="G64346"/>
    <cellWatch r="G64347"/>
    <cellWatch r="G64348"/>
    <cellWatch r="G64349"/>
    <cellWatch r="G64350"/>
    <cellWatch r="G64351"/>
    <cellWatch r="G64352"/>
    <cellWatch r="G64353"/>
    <cellWatch r="G64354"/>
    <cellWatch r="G64355"/>
    <cellWatch r="G64356"/>
    <cellWatch r="G64357"/>
    <cellWatch r="G64358"/>
    <cellWatch r="G64359"/>
    <cellWatch r="G64360"/>
    <cellWatch r="G64361"/>
    <cellWatch r="G64362"/>
    <cellWatch r="G64363"/>
    <cellWatch r="G64364"/>
    <cellWatch r="G64365"/>
    <cellWatch r="G64366"/>
    <cellWatch r="G64367"/>
    <cellWatch r="G64368"/>
    <cellWatch r="G64369"/>
    <cellWatch r="G64370"/>
    <cellWatch r="G64371"/>
    <cellWatch r="G64372"/>
    <cellWatch r="G64373"/>
    <cellWatch r="G64374"/>
    <cellWatch r="G64375"/>
    <cellWatch r="G64376"/>
    <cellWatch r="G64377"/>
    <cellWatch r="G64378"/>
    <cellWatch r="G64379"/>
    <cellWatch r="G64380"/>
    <cellWatch r="G64381"/>
    <cellWatch r="G64382"/>
    <cellWatch r="G64383"/>
    <cellWatch r="G64384"/>
    <cellWatch r="G64385"/>
    <cellWatch r="G64386"/>
    <cellWatch r="G64387"/>
    <cellWatch r="G64388"/>
    <cellWatch r="G64389"/>
    <cellWatch r="G64390"/>
    <cellWatch r="G64391"/>
    <cellWatch r="G64392"/>
    <cellWatch r="G64393"/>
    <cellWatch r="G64394"/>
    <cellWatch r="G64395"/>
    <cellWatch r="G64396"/>
    <cellWatch r="G64397"/>
    <cellWatch r="G64398"/>
    <cellWatch r="G64399"/>
    <cellWatch r="G64400"/>
    <cellWatch r="G64401"/>
    <cellWatch r="G64402"/>
    <cellWatch r="G64403"/>
    <cellWatch r="G64404"/>
    <cellWatch r="G64405"/>
    <cellWatch r="G64406"/>
    <cellWatch r="G64407"/>
    <cellWatch r="G64408"/>
    <cellWatch r="G64409"/>
    <cellWatch r="G64410"/>
    <cellWatch r="G64411"/>
    <cellWatch r="G64412"/>
    <cellWatch r="G64413"/>
    <cellWatch r="G64414"/>
    <cellWatch r="G64415"/>
    <cellWatch r="G64416"/>
    <cellWatch r="G64417"/>
    <cellWatch r="G64418"/>
    <cellWatch r="G64419"/>
    <cellWatch r="G64420"/>
    <cellWatch r="G64421"/>
    <cellWatch r="G64422"/>
    <cellWatch r="G64423"/>
    <cellWatch r="G64424"/>
    <cellWatch r="G64425"/>
    <cellWatch r="G64426"/>
    <cellWatch r="G64427"/>
    <cellWatch r="G64428"/>
    <cellWatch r="G64429"/>
    <cellWatch r="G64430"/>
    <cellWatch r="G64431"/>
    <cellWatch r="G64432"/>
    <cellWatch r="G64433"/>
    <cellWatch r="G64434"/>
    <cellWatch r="G64435"/>
    <cellWatch r="G64436"/>
    <cellWatch r="G64437"/>
    <cellWatch r="G64438"/>
    <cellWatch r="G64439"/>
    <cellWatch r="G64440"/>
    <cellWatch r="G64441"/>
    <cellWatch r="G64442"/>
    <cellWatch r="G64443"/>
    <cellWatch r="G64444"/>
    <cellWatch r="G64445"/>
    <cellWatch r="G64446"/>
    <cellWatch r="G64447"/>
    <cellWatch r="G64448"/>
    <cellWatch r="G64449"/>
    <cellWatch r="G64450"/>
    <cellWatch r="G64451"/>
    <cellWatch r="G64452"/>
    <cellWatch r="G64453"/>
    <cellWatch r="G64454"/>
    <cellWatch r="G64455"/>
    <cellWatch r="G64456"/>
    <cellWatch r="G64457"/>
    <cellWatch r="G64458"/>
    <cellWatch r="G64459"/>
    <cellWatch r="G64460"/>
    <cellWatch r="G64461"/>
    <cellWatch r="G64462"/>
    <cellWatch r="G64463"/>
    <cellWatch r="G64464"/>
    <cellWatch r="G64465"/>
    <cellWatch r="G64466"/>
    <cellWatch r="G64467"/>
    <cellWatch r="G64468"/>
    <cellWatch r="G64469"/>
    <cellWatch r="G64470"/>
    <cellWatch r="G64471"/>
    <cellWatch r="G64472"/>
    <cellWatch r="G64473"/>
    <cellWatch r="G64474"/>
    <cellWatch r="G64475"/>
    <cellWatch r="G64476"/>
    <cellWatch r="G64477"/>
    <cellWatch r="G64478"/>
    <cellWatch r="G64479"/>
    <cellWatch r="G64480"/>
    <cellWatch r="G64481"/>
    <cellWatch r="G64482"/>
    <cellWatch r="G64483"/>
    <cellWatch r="G64484"/>
    <cellWatch r="G64485"/>
    <cellWatch r="G64486"/>
    <cellWatch r="G64487"/>
    <cellWatch r="G64488"/>
    <cellWatch r="G64489"/>
    <cellWatch r="G64490"/>
    <cellWatch r="G64491"/>
    <cellWatch r="G64492"/>
    <cellWatch r="G64493"/>
    <cellWatch r="G64494"/>
    <cellWatch r="G64495"/>
    <cellWatch r="G64496"/>
    <cellWatch r="G64497"/>
    <cellWatch r="G64498"/>
    <cellWatch r="G64499"/>
    <cellWatch r="G64500"/>
    <cellWatch r="G64501"/>
    <cellWatch r="G64502"/>
    <cellWatch r="G64503"/>
    <cellWatch r="G64504"/>
    <cellWatch r="G64505"/>
    <cellWatch r="G64506"/>
    <cellWatch r="G64507"/>
    <cellWatch r="G64508"/>
    <cellWatch r="G64509"/>
    <cellWatch r="G64510"/>
    <cellWatch r="G64511"/>
    <cellWatch r="G64512"/>
    <cellWatch r="G64513"/>
    <cellWatch r="G64514"/>
    <cellWatch r="G64515"/>
    <cellWatch r="G64516"/>
    <cellWatch r="G64517"/>
    <cellWatch r="G64518"/>
    <cellWatch r="G64519"/>
    <cellWatch r="G64520"/>
    <cellWatch r="G64521"/>
    <cellWatch r="G64522"/>
    <cellWatch r="G64523"/>
    <cellWatch r="G64524"/>
    <cellWatch r="G64525"/>
    <cellWatch r="G64526"/>
    <cellWatch r="G64527"/>
    <cellWatch r="G64528"/>
    <cellWatch r="G64529"/>
    <cellWatch r="G64530"/>
    <cellWatch r="G64531"/>
    <cellWatch r="G64532"/>
    <cellWatch r="G64533"/>
    <cellWatch r="G64534"/>
    <cellWatch r="G64535"/>
    <cellWatch r="G64536"/>
    <cellWatch r="G64537"/>
    <cellWatch r="G64538"/>
    <cellWatch r="G64539"/>
    <cellWatch r="G64540"/>
    <cellWatch r="G64541"/>
    <cellWatch r="G64542"/>
    <cellWatch r="G64543"/>
    <cellWatch r="G64544"/>
    <cellWatch r="G64545"/>
    <cellWatch r="G64546"/>
    <cellWatch r="G64547"/>
    <cellWatch r="G64548"/>
    <cellWatch r="G64549"/>
    <cellWatch r="G64550"/>
    <cellWatch r="G64551"/>
    <cellWatch r="G64552"/>
    <cellWatch r="G64553"/>
    <cellWatch r="G64554"/>
    <cellWatch r="G64555"/>
    <cellWatch r="G64556"/>
    <cellWatch r="G64557"/>
    <cellWatch r="G64558"/>
    <cellWatch r="G64559"/>
    <cellWatch r="G64560"/>
    <cellWatch r="G64561"/>
    <cellWatch r="G64562"/>
    <cellWatch r="G64563"/>
    <cellWatch r="G64564"/>
    <cellWatch r="G64565"/>
    <cellWatch r="G64566"/>
    <cellWatch r="G64567"/>
    <cellWatch r="G64568"/>
    <cellWatch r="G64569"/>
    <cellWatch r="G64570"/>
    <cellWatch r="G64571"/>
    <cellWatch r="G64572"/>
    <cellWatch r="G64573"/>
    <cellWatch r="G64574"/>
    <cellWatch r="G64575"/>
    <cellWatch r="G64576"/>
    <cellWatch r="G64577"/>
    <cellWatch r="G64578"/>
    <cellWatch r="G64579"/>
    <cellWatch r="G64580"/>
    <cellWatch r="G64581"/>
    <cellWatch r="G64582"/>
    <cellWatch r="G64583"/>
    <cellWatch r="G64584"/>
    <cellWatch r="G64585"/>
    <cellWatch r="G64586"/>
    <cellWatch r="G64587"/>
    <cellWatch r="G64588"/>
    <cellWatch r="G64589"/>
    <cellWatch r="G64590"/>
    <cellWatch r="G64591"/>
    <cellWatch r="G64592"/>
    <cellWatch r="G64593"/>
    <cellWatch r="G64594"/>
    <cellWatch r="G64595"/>
    <cellWatch r="G64596"/>
    <cellWatch r="G64597"/>
    <cellWatch r="G64598"/>
    <cellWatch r="G64599"/>
    <cellWatch r="G64600"/>
    <cellWatch r="G64601"/>
    <cellWatch r="G64602"/>
    <cellWatch r="G64603"/>
    <cellWatch r="G64604"/>
    <cellWatch r="G64605"/>
    <cellWatch r="G64606"/>
    <cellWatch r="G64607"/>
    <cellWatch r="G64608"/>
    <cellWatch r="G64609"/>
    <cellWatch r="G64610"/>
    <cellWatch r="G64611"/>
    <cellWatch r="G64612"/>
    <cellWatch r="G64613"/>
    <cellWatch r="G64614"/>
    <cellWatch r="G64615"/>
    <cellWatch r="G64616"/>
    <cellWatch r="G64617"/>
    <cellWatch r="G64618"/>
    <cellWatch r="G64619"/>
    <cellWatch r="G64620"/>
    <cellWatch r="G64621"/>
    <cellWatch r="G64622"/>
    <cellWatch r="G64623"/>
    <cellWatch r="G64624"/>
    <cellWatch r="G64625"/>
    <cellWatch r="G64626"/>
    <cellWatch r="G64627"/>
    <cellWatch r="G64628"/>
    <cellWatch r="G64629"/>
    <cellWatch r="G64630"/>
    <cellWatch r="G64631"/>
    <cellWatch r="G64632"/>
    <cellWatch r="G64633"/>
    <cellWatch r="G64634"/>
    <cellWatch r="G64635"/>
    <cellWatch r="G64636"/>
    <cellWatch r="G64637"/>
    <cellWatch r="G64638"/>
    <cellWatch r="G64639"/>
    <cellWatch r="G64640"/>
    <cellWatch r="G64641"/>
    <cellWatch r="G64642"/>
    <cellWatch r="G64643"/>
    <cellWatch r="G64644"/>
    <cellWatch r="G64645"/>
    <cellWatch r="G64646"/>
    <cellWatch r="G64647"/>
    <cellWatch r="G64648"/>
    <cellWatch r="G64649"/>
    <cellWatch r="G64650"/>
    <cellWatch r="G64651"/>
    <cellWatch r="G64652"/>
    <cellWatch r="G64653"/>
    <cellWatch r="G64654"/>
    <cellWatch r="G64655"/>
    <cellWatch r="G64656"/>
    <cellWatch r="G64657"/>
    <cellWatch r="G64658"/>
    <cellWatch r="G64659"/>
    <cellWatch r="G64660"/>
    <cellWatch r="G64661"/>
    <cellWatch r="G64662"/>
    <cellWatch r="G64663"/>
    <cellWatch r="G64664"/>
    <cellWatch r="G64665"/>
    <cellWatch r="G64666"/>
    <cellWatch r="G64667"/>
    <cellWatch r="G64668"/>
    <cellWatch r="G64669"/>
    <cellWatch r="G64670"/>
    <cellWatch r="G64671"/>
    <cellWatch r="G64672"/>
    <cellWatch r="G64673"/>
    <cellWatch r="G64674"/>
    <cellWatch r="G64675"/>
    <cellWatch r="G64676"/>
    <cellWatch r="G64677"/>
    <cellWatch r="G64678"/>
    <cellWatch r="G64679"/>
    <cellWatch r="G64680"/>
    <cellWatch r="G64681"/>
    <cellWatch r="G64682"/>
    <cellWatch r="G64683"/>
    <cellWatch r="G64684"/>
    <cellWatch r="G64685"/>
    <cellWatch r="G64686"/>
    <cellWatch r="G64687"/>
    <cellWatch r="G64688"/>
    <cellWatch r="G64689"/>
    <cellWatch r="G64690"/>
    <cellWatch r="G64691"/>
    <cellWatch r="G64692"/>
    <cellWatch r="G64693"/>
    <cellWatch r="G64694"/>
    <cellWatch r="G64695"/>
    <cellWatch r="G64696"/>
    <cellWatch r="G64697"/>
    <cellWatch r="G64698"/>
    <cellWatch r="G64699"/>
    <cellWatch r="G64700"/>
    <cellWatch r="G64701"/>
    <cellWatch r="G64702"/>
    <cellWatch r="G64703"/>
    <cellWatch r="G64704"/>
    <cellWatch r="G64705"/>
    <cellWatch r="G64706"/>
    <cellWatch r="G64707"/>
    <cellWatch r="G64708"/>
    <cellWatch r="G64709"/>
    <cellWatch r="G64710"/>
    <cellWatch r="G64711"/>
    <cellWatch r="G64712"/>
    <cellWatch r="G64713"/>
    <cellWatch r="G64714"/>
    <cellWatch r="G64715"/>
    <cellWatch r="G64716"/>
    <cellWatch r="G64717"/>
    <cellWatch r="G64718"/>
    <cellWatch r="G64719"/>
    <cellWatch r="G64720"/>
    <cellWatch r="G64721"/>
    <cellWatch r="G64722"/>
    <cellWatch r="G64723"/>
    <cellWatch r="G64724"/>
    <cellWatch r="G64725"/>
    <cellWatch r="G64726"/>
    <cellWatch r="G64727"/>
    <cellWatch r="G64728"/>
    <cellWatch r="G64729"/>
    <cellWatch r="G64730"/>
    <cellWatch r="G64731"/>
    <cellWatch r="G64732"/>
    <cellWatch r="G64733"/>
    <cellWatch r="G64734"/>
    <cellWatch r="G64735"/>
    <cellWatch r="G64736"/>
    <cellWatch r="G64737"/>
    <cellWatch r="G64738"/>
    <cellWatch r="G64739"/>
    <cellWatch r="G64740"/>
    <cellWatch r="G64741"/>
    <cellWatch r="G64742"/>
    <cellWatch r="G64743"/>
    <cellWatch r="G64744"/>
    <cellWatch r="G64745"/>
    <cellWatch r="G64746"/>
    <cellWatch r="G64747"/>
    <cellWatch r="G64748"/>
    <cellWatch r="G64749"/>
    <cellWatch r="G64750"/>
    <cellWatch r="G64751"/>
    <cellWatch r="G64752"/>
    <cellWatch r="G64753"/>
    <cellWatch r="G64754"/>
    <cellWatch r="G64755"/>
    <cellWatch r="G64756"/>
    <cellWatch r="G64757"/>
    <cellWatch r="G64758"/>
    <cellWatch r="G64759"/>
    <cellWatch r="G64760"/>
    <cellWatch r="G64761"/>
    <cellWatch r="G64762"/>
    <cellWatch r="G64763"/>
    <cellWatch r="G64764"/>
    <cellWatch r="G64765"/>
    <cellWatch r="G64766"/>
    <cellWatch r="G64767"/>
    <cellWatch r="G64768"/>
    <cellWatch r="G64769"/>
    <cellWatch r="G64770"/>
    <cellWatch r="G64771"/>
    <cellWatch r="G64772"/>
    <cellWatch r="G64773"/>
    <cellWatch r="G64774"/>
    <cellWatch r="G64775"/>
    <cellWatch r="G64776"/>
    <cellWatch r="G64777"/>
    <cellWatch r="G64778"/>
    <cellWatch r="G64779"/>
    <cellWatch r="G64780"/>
    <cellWatch r="G64781"/>
    <cellWatch r="G64782"/>
    <cellWatch r="G64783"/>
    <cellWatch r="G64784"/>
    <cellWatch r="G64785"/>
    <cellWatch r="G64786"/>
    <cellWatch r="G64787"/>
    <cellWatch r="G64788"/>
    <cellWatch r="G64789"/>
    <cellWatch r="G64790"/>
    <cellWatch r="G64791"/>
    <cellWatch r="G64792"/>
    <cellWatch r="G64793"/>
    <cellWatch r="G64794"/>
    <cellWatch r="G64795"/>
    <cellWatch r="G64796"/>
    <cellWatch r="G64797"/>
    <cellWatch r="G64798"/>
    <cellWatch r="G64799"/>
    <cellWatch r="G64800"/>
    <cellWatch r="G64801"/>
    <cellWatch r="G64802"/>
    <cellWatch r="G64803"/>
    <cellWatch r="G64804"/>
    <cellWatch r="G64805"/>
    <cellWatch r="G64806"/>
    <cellWatch r="G64807"/>
    <cellWatch r="G64808"/>
    <cellWatch r="G64809"/>
    <cellWatch r="G64810"/>
    <cellWatch r="G64811"/>
    <cellWatch r="G64812"/>
    <cellWatch r="G64813"/>
    <cellWatch r="G64814"/>
    <cellWatch r="G64815"/>
    <cellWatch r="G64816"/>
    <cellWatch r="G64817"/>
    <cellWatch r="G64818"/>
    <cellWatch r="G64819"/>
    <cellWatch r="G64820"/>
    <cellWatch r="G64821"/>
    <cellWatch r="G64822"/>
    <cellWatch r="G64823"/>
    <cellWatch r="G64824"/>
    <cellWatch r="G64825"/>
    <cellWatch r="G64826"/>
    <cellWatch r="G64827"/>
    <cellWatch r="G64828"/>
    <cellWatch r="G64829"/>
    <cellWatch r="G64830"/>
    <cellWatch r="G64831"/>
    <cellWatch r="G64832"/>
    <cellWatch r="G64833"/>
    <cellWatch r="G64834"/>
    <cellWatch r="G64835"/>
    <cellWatch r="G64836"/>
    <cellWatch r="G64837"/>
    <cellWatch r="G64838"/>
    <cellWatch r="G64839"/>
    <cellWatch r="G64840"/>
    <cellWatch r="G64841"/>
    <cellWatch r="G64842"/>
    <cellWatch r="G64843"/>
    <cellWatch r="G64844"/>
    <cellWatch r="G64845"/>
    <cellWatch r="G64846"/>
    <cellWatch r="G64847"/>
    <cellWatch r="G64848"/>
    <cellWatch r="G64849"/>
    <cellWatch r="G64850"/>
    <cellWatch r="G64851"/>
    <cellWatch r="G64852"/>
    <cellWatch r="G64853"/>
    <cellWatch r="G64854"/>
    <cellWatch r="G64855"/>
    <cellWatch r="G64856"/>
    <cellWatch r="G64857"/>
    <cellWatch r="G64858"/>
    <cellWatch r="G64859"/>
    <cellWatch r="G64860"/>
    <cellWatch r="G64861"/>
    <cellWatch r="G64862"/>
    <cellWatch r="G64863"/>
    <cellWatch r="G64864"/>
    <cellWatch r="G64865"/>
    <cellWatch r="G64866"/>
    <cellWatch r="G64867"/>
    <cellWatch r="G64868"/>
    <cellWatch r="G64869"/>
    <cellWatch r="G64870"/>
    <cellWatch r="G64871"/>
    <cellWatch r="G64872"/>
    <cellWatch r="G64873"/>
    <cellWatch r="G64874"/>
    <cellWatch r="G64875"/>
    <cellWatch r="G64876"/>
    <cellWatch r="G64877"/>
    <cellWatch r="G64878"/>
    <cellWatch r="G64879"/>
    <cellWatch r="G64880"/>
    <cellWatch r="G64881"/>
    <cellWatch r="G64882"/>
    <cellWatch r="G64883"/>
    <cellWatch r="G64884"/>
    <cellWatch r="G64885"/>
    <cellWatch r="G64886"/>
    <cellWatch r="G64887"/>
    <cellWatch r="G64888"/>
    <cellWatch r="G64889"/>
    <cellWatch r="G64890"/>
    <cellWatch r="G64891"/>
    <cellWatch r="G64892"/>
    <cellWatch r="G64893"/>
    <cellWatch r="G64894"/>
    <cellWatch r="G64895"/>
    <cellWatch r="G64896"/>
    <cellWatch r="G64897"/>
    <cellWatch r="G64898"/>
    <cellWatch r="G64899"/>
    <cellWatch r="G64900"/>
    <cellWatch r="G64901"/>
    <cellWatch r="G64902"/>
    <cellWatch r="G64903"/>
    <cellWatch r="G64904"/>
    <cellWatch r="G64905"/>
    <cellWatch r="G64906"/>
    <cellWatch r="G64907"/>
    <cellWatch r="G64908"/>
    <cellWatch r="G64909"/>
    <cellWatch r="G64910"/>
    <cellWatch r="G64911"/>
    <cellWatch r="G64912"/>
    <cellWatch r="G64913"/>
    <cellWatch r="G64914"/>
    <cellWatch r="G64915"/>
    <cellWatch r="G64916"/>
    <cellWatch r="G64917"/>
    <cellWatch r="G64918"/>
    <cellWatch r="G64919"/>
    <cellWatch r="G64920"/>
    <cellWatch r="G64921"/>
    <cellWatch r="G64922"/>
    <cellWatch r="G64923"/>
    <cellWatch r="G64924"/>
    <cellWatch r="G64925"/>
    <cellWatch r="G64926"/>
    <cellWatch r="G64927"/>
    <cellWatch r="G64928"/>
    <cellWatch r="G64929"/>
    <cellWatch r="G64930"/>
    <cellWatch r="G64931"/>
    <cellWatch r="G64932"/>
    <cellWatch r="G64933"/>
    <cellWatch r="G64934"/>
    <cellWatch r="G64935"/>
    <cellWatch r="G64936"/>
    <cellWatch r="G64937"/>
    <cellWatch r="G64938"/>
    <cellWatch r="G64939"/>
    <cellWatch r="G64940"/>
    <cellWatch r="G64941"/>
    <cellWatch r="G64942"/>
    <cellWatch r="G64943"/>
    <cellWatch r="G64944"/>
    <cellWatch r="G64945"/>
    <cellWatch r="G64946"/>
    <cellWatch r="G64947"/>
    <cellWatch r="G64948"/>
    <cellWatch r="G64949"/>
    <cellWatch r="G64950"/>
    <cellWatch r="G64951"/>
    <cellWatch r="G64952"/>
    <cellWatch r="G64953"/>
    <cellWatch r="G64954"/>
    <cellWatch r="G64955"/>
    <cellWatch r="G64956"/>
    <cellWatch r="G64957"/>
    <cellWatch r="G64958"/>
    <cellWatch r="G64959"/>
    <cellWatch r="G64960"/>
    <cellWatch r="G64961"/>
    <cellWatch r="G64962"/>
    <cellWatch r="G64963"/>
    <cellWatch r="G64964"/>
    <cellWatch r="G64965"/>
    <cellWatch r="G64966"/>
    <cellWatch r="G64967"/>
    <cellWatch r="G64968"/>
    <cellWatch r="G64969"/>
    <cellWatch r="G64970"/>
    <cellWatch r="G64971"/>
    <cellWatch r="G64972"/>
    <cellWatch r="G64973"/>
    <cellWatch r="G64974"/>
    <cellWatch r="G64975"/>
    <cellWatch r="G64976"/>
    <cellWatch r="G64977"/>
    <cellWatch r="G64978"/>
    <cellWatch r="G64979"/>
    <cellWatch r="G64980"/>
    <cellWatch r="G64981"/>
    <cellWatch r="G64982"/>
    <cellWatch r="G64983"/>
    <cellWatch r="G64984"/>
    <cellWatch r="G64985"/>
    <cellWatch r="G64986"/>
    <cellWatch r="G64987"/>
    <cellWatch r="G64988"/>
    <cellWatch r="G64989"/>
    <cellWatch r="G64990"/>
    <cellWatch r="G64991"/>
    <cellWatch r="G64992"/>
    <cellWatch r="G64993"/>
    <cellWatch r="G64994"/>
    <cellWatch r="G64995"/>
    <cellWatch r="G64996"/>
    <cellWatch r="G64997"/>
    <cellWatch r="G64998"/>
    <cellWatch r="G64999"/>
    <cellWatch r="G65000"/>
    <cellWatch r="G65001"/>
    <cellWatch r="G65002"/>
    <cellWatch r="G65003"/>
    <cellWatch r="G65004"/>
    <cellWatch r="G65005"/>
    <cellWatch r="G65006"/>
    <cellWatch r="G65007"/>
    <cellWatch r="G65008"/>
    <cellWatch r="G65009"/>
    <cellWatch r="G65010"/>
    <cellWatch r="G65011"/>
    <cellWatch r="G65012"/>
    <cellWatch r="G65013"/>
    <cellWatch r="G65014"/>
    <cellWatch r="G65015"/>
    <cellWatch r="G65016"/>
    <cellWatch r="G65017"/>
    <cellWatch r="G65018"/>
    <cellWatch r="G65019"/>
    <cellWatch r="G65020"/>
    <cellWatch r="G65021"/>
    <cellWatch r="G65022"/>
    <cellWatch r="G65023"/>
    <cellWatch r="G65024"/>
    <cellWatch r="G65025"/>
    <cellWatch r="G65026"/>
    <cellWatch r="G65027"/>
    <cellWatch r="G65028"/>
    <cellWatch r="G65029"/>
    <cellWatch r="G65030"/>
    <cellWatch r="G65031"/>
    <cellWatch r="G65032"/>
    <cellWatch r="G65033"/>
    <cellWatch r="G65034"/>
    <cellWatch r="G65035"/>
    <cellWatch r="G65036"/>
    <cellWatch r="G65037"/>
    <cellWatch r="G65038"/>
    <cellWatch r="G65039"/>
    <cellWatch r="G65040"/>
    <cellWatch r="G65041"/>
    <cellWatch r="G65042"/>
    <cellWatch r="G65043"/>
    <cellWatch r="G65044"/>
    <cellWatch r="G65045"/>
    <cellWatch r="G65046"/>
    <cellWatch r="G65047"/>
    <cellWatch r="G65048"/>
    <cellWatch r="G65049"/>
    <cellWatch r="G65050"/>
    <cellWatch r="G65051"/>
    <cellWatch r="G65052"/>
    <cellWatch r="G65053"/>
    <cellWatch r="G65054"/>
    <cellWatch r="G65055"/>
    <cellWatch r="G65056"/>
    <cellWatch r="G65057"/>
    <cellWatch r="G65058"/>
    <cellWatch r="G65059"/>
    <cellWatch r="G65060"/>
    <cellWatch r="G65061"/>
    <cellWatch r="G65062"/>
    <cellWatch r="G65063"/>
    <cellWatch r="G65064"/>
    <cellWatch r="G65065"/>
    <cellWatch r="G65066"/>
    <cellWatch r="G65067"/>
    <cellWatch r="G65068"/>
    <cellWatch r="G65069"/>
    <cellWatch r="G65070"/>
    <cellWatch r="G65071"/>
    <cellWatch r="G65072"/>
    <cellWatch r="G65073"/>
    <cellWatch r="G65074"/>
    <cellWatch r="G65075"/>
    <cellWatch r="G65076"/>
    <cellWatch r="G65077"/>
    <cellWatch r="G65078"/>
    <cellWatch r="G65079"/>
    <cellWatch r="G65080"/>
    <cellWatch r="G65081"/>
    <cellWatch r="G65082"/>
    <cellWatch r="G65083"/>
    <cellWatch r="G65084"/>
    <cellWatch r="G65085"/>
    <cellWatch r="G65086"/>
    <cellWatch r="G65087"/>
    <cellWatch r="G65088"/>
    <cellWatch r="G65089"/>
    <cellWatch r="G65090"/>
    <cellWatch r="G65091"/>
    <cellWatch r="G65092"/>
    <cellWatch r="G65093"/>
    <cellWatch r="G65094"/>
    <cellWatch r="G65095"/>
    <cellWatch r="G65096"/>
    <cellWatch r="G65097"/>
    <cellWatch r="G65098"/>
    <cellWatch r="G65099"/>
    <cellWatch r="G65100"/>
    <cellWatch r="G65101"/>
    <cellWatch r="G65102"/>
    <cellWatch r="G65103"/>
    <cellWatch r="G65104"/>
    <cellWatch r="G65105"/>
    <cellWatch r="G65106"/>
    <cellWatch r="G65107"/>
    <cellWatch r="G65108"/>
    <cellWatch r="G65109"/>
    <cellWatch r="G65110"/>
    <cellWatch r="G65111"/>
    <cellWatch r="G65112"/>
    <cellWatch r="G65113"/>
    <cellWatch r="G65114"/>
    <cellWatch r="G65115"/>
    <cellWatch r="G65116"/>
    <cellWatch r="G65117"/>
    <cellWatch r="G65118"/>
    <cellWatch r="G65119"/>
    <cellWatch r="G65120"/>
    <cellWatch r="G65121"/>
    <cellWatch r="G65122"/>
    <cellWatch r="G65123"/>
    <cellWatch r="G65124"/>
    <cellWatch r="G65125"/>
    <cellWatch r="G65126"/>
    <cellWatch r="G65127"/>
    <cellWatch r="G65128"/>
    <cellWatch r="G65129"/>
    <cellWatch r="G65130"/>
    <cellWatch r="G65131"/>
    <cellWatch r="G65132"/>
    <cellWatch r="G65133"/>
    <cellWatch r="G65134"/>
    <cellWatch r="G65135"/>
    <cellWatch r="G65136"/>
    <cellWatch r="G65137"/>
    <cellWatch r="G65138"/>
    <cellWatch r="G65139"/>
    <cellWatch r="G65140"/>
    <cellWatch r="G65141"/>
    <cellWatch r="G65142"/>
    <cellWatch r="G65143"/>
    <cellWatch r="G65144"/>
    <cellWatch r="G65145"/>
    <cellWatch r="G65146"/>
    <cellWatch r="G65147"/>
    <cellWatch r="G65148"/>
    <cellWatch r="G65149"/>
    <cellWatch r="G65150"/>
    <cellWatch r="G65151"/>
    <cellWatch r="G65152"/>
    <cellWatch r="G65153"/>
    <cellWatch r="G65154"/>
    <cellWatch r="G65155"/>
    <cellWatch r="G65156"/>
    <cellWatch r="G65157"/>
    <cellWatch r="G65158"/>
    <cellWatch r="G65159"/>
    <cellWatch r="G65160"/>
    <cellWatch r="G65161"/>
    <cellWatch r="G65162"/>
    <cellWatch r="G65163"/>
    <cellWatch r="G65164"/>
    <cellWatch r="G65165"/>
    <cellWatch r="G65166"/>
    <cellWatch r="G65167"/>
    <cellWatch r="G65168"/>
    <cellWatch r="G65169"/>
    <cellWatch r="G65170"/>
    <cellWatch r="G65171"/>
    <cellWatch r="G65172"/>
    <cellWatch r="G65173"/>
    <cellWatch r="G65174"/>
    <cellWatch r="G65175"/>
    <cellWatch r="G65176"/>
    <cellWatch r="G65177"/>
    <cellWatch r="G65178"/>
    <cellWatch r="G65179"/>
    <cellWatch r="G65180"/>
    <cellWatch r="G65181"/>
    <cellWatch r="G65182"/>
    <cellWatch r="G65183"/>
    <cellWatch r="G65184"/>
    <cellWatch r="G65185"/>
    <cellWatch r="G65186"/>
    <cellWatch r="G65187"/>
    <cellWatch r="G65188"/>
    <cellWatch r="G65189"/>
    <cellWatch r="G65190"/>
    <cellWatch r="G65191"/>
    <cellWatch r="G65192"/>
    <cellWatch r="G65193"/>
    <cellWatch r="G65194"/>
    <cellWatch r="G65195"/>
    <cellWatch r="G65196"/>
    <cellWatch r="G65197"/>
    <cellWatch r="G65198"/>
    <cellWatch r="G65199"/>
    <cellWatch r="G65200"/>
    <cellWatch r="G65201"/>
    <cellWatch r="G65202"/>
    <cellWatch r="G65203"/>
    <cellWatch r="G65204"/>
    <cellWatch r="G65205"/>
    <cellWatch r="G65206"/>
    <cellWatch r="G65207"/>
    <cellWatch r="G65208"/>
    <cellWatch r="G65209"/>
    <cellWatch r="G65210"/>
    <cellWatch r="G65211"/>
    <cellWatch r="G65212"/>
    <cellWatch r="G65213"/>
    <cellWatch r="G65214"/>
    <cellWatch r="G65215"/>
    <cellWatch r="G65216"/>
    <cellWatch r="G65217"/>
    <cellWatch r="G65218"/>
    <cellWatch r="G65219"/>
    <cellWatch r="G65220"/>
    <cellWatch r="G65221"/>
    <cellWatch r="G65222"/>
    <cellWatch r="G65223"/>
    <cellWatch r="G65224"/>
    <cellWatch r="G65225"/>
    <cellWatch r="G65226"/>
    <cellWatch r="G65227"/>
    <cellWatch r="G65228"/>
    <cellWatch r="G65229"/>
    <cellWatch r="G65230"/>
    <cellWatch r="G65231"/>
    <cellWatch r="G65232"/>
    <cellWatch r="G65233"/>
    <cellWatch r="G65234"/>
    <cellWatch r="G65235"/>
    <cellWatch r="G65236"/>
    <cellWatch r="G65237"/>
    <cellWatch r="G65238"/>
    <cellWatch r="G65239"/>
    <cellWatch r="G65240"/>
    <cellWatch r="G65241"/>
    <cellWatch r="G65242"/>
    <cellWatch r="G65243"/>
    <cellWatch r="G65244"/>
    <cellWatch r="G65245"/>
    <cellWatch r="G65246"/>
    <cellWatch r="G65247"/>
    <cellWatch r="G65248"/>
    <cellWatch r="G65249"/>
    <cellWatch r="G65250"/>
    <cellWatch r="G65251"/>
    <cellWatch r="G65252"/>
    <cellWatch r="G65253"/>
    <cellWatch r="G65254"/>
    <cellWatch r="G65255"/>
    <cellWatch r="G65256"/>
    <cellWatch r="G65257"/>
    <cellWatch r="G65258"/>
    <cellWatch r="G65259"/>
    <cellWatch r="G65260"/>
    <cellWatch r="G65261"/>
    <cellWatch r="G65262"/>
    <cellWatch r="G65263"/>
    <cellWatch r="G65264"/>
    <cellWatch r="G65265"/>
    <cellWatch r="G65266"/>
    <cellWatch r="G65267"/>
    <cellWatch r="G65268"/>
    <cellWatch r="G65269"/>
    <cellWatch r="G65270"/>
    <cellWatch r="G65271"/>
    <cellWatch r="G65272"/>
    <cellWatch r="G65273"/>
    <cellWatch r="G65274"/>
    <cellWatch r="G65275"/>
    <cellWatch r="G65276"/>
    <cellWatch r="G65277"/>
    <cellWatch r="G65278"/>
    <cellWatch r="G65279"/>
    <cellWatch r="G65280"/>
    <cellWatch r="G65281"/>
    <cellWatch r="G65282"/>
    <cellWatch r="G65283"/>
    <cellWatch r="G65284"/>
    <cellWatch r="G65285"/>
    <cellWatch r="G65286"/>
    <cellWatch r="G65287"/>
    <cellWatch r="G65288"/>
    <cellWatch r="G65289"/>
    <cellWatch r="G65290"/>
    <cellWatch r="G65291"/>
    <cellWatch r="G65292"/>
    <cellWatch r="G65293"/>
    <cellWatch r="G65294"/>
    <cellWatch r="G65295"/>
    <cellWatch r="G65296"/>
    <cellWatch r="G65297"/>
    <cellWatch r="G65298"/>
    <cellWatch r="G65299"/>
    <cellWatch r="G65300"/>
    <cellWatch r="G65301"/>
    <cellWatch r="G65302"/>
    <cellWatch r="G65303"/>
    <cellWatch r="G65304"/>
    <cellWatch r="G65305"/>
    <cellWatch r="G65306"/>
    <cellWatch r="G65307"/>
    <cellWatch r="G65308"/>
    <cellWatch r="G65309"/>
    <cellWatch r="G65310"/>
    <cellWatch r="G65311"/>
    <cellWatch r="G65312"/>
    <cellWatch r="G65313"/>
    <cellWatch r="G65314"/>
    <cellWatch r="G65315"/>
    <cellWatch r="G65316"/>
    <cellWatch r="G65317"/>
    <cellWatch r="G65318"/>
    <cellWatch r="G65319"/>
    <cellWatch r="G65320"/>
    <cellWatch r="G65321"/>
    <cellWatch r="G65322"/>
    <cellWatch r="G65323"/>
    <cellWatch r="G65324"/>
    <cellWatch r="G65325"/>
    <cellWatch r="G65326"/>
    <cellWatch r="G65327"/>
    <cellWatch r="G65328"/>
    <cellWatch r="G65329"/>
    <cellWatch r="G65330"/>
    <cellWatch r="G65331"/>
    <cellWatch r="G65332"/>
    <cellWatch r="G65333"/>
    <cellWatch r="G65334"/>
    <cellWatch r="G65335"/>
    <cellWatch r="G65336"/>
    <cellWatch r="G65337"/>
    <cellWatch r="G65338"/>
    <cellWatch r="G65339"/>
    <cellWatch r="G65340"/>
    <cellWatch r="G65341"/>
    <cellWatch r="G65342"/>
    <cellWatch r="G65343"/>
    <cellWatch r="G65344"/>
    <cellWatch r="G65345"/>
    <cellWatch r="G65346"/>
    <cellWatch r="G65347"/>
    <cellWatch r="G65348"/>
    <cellWatch r="G65349"/>
    <cellWatch r="G65350"/>
    <cellWatch r="G65351"/>
    <cellWatch r="G65352"/>
    <cellWatch r="G65353"/>
    <cellWatch r="G65354"/>
    <cellWatch r="G65355"/>
    <cellWatch r="G65356"/>
    <cellWatch r="G65357"/>
    <cellWatch r="G65358"/>
    <cellWatch r="G65359"/>
    <cellWatch r="G65360"/>
    <cellWatch r="G65361"/>
    <cellWatch r="G65362"/>
    <cellWatch r="G65363"/>
    <cellWatch r="G65364"/>
    <cellWatch r="G65365"/>
    <cellWatch r="G65366"/>
    <cellWatch r="G65367"/>
    <cellWatch r="G65368"/>
    <cellWatch r="G65369"/>
    <cellWatch r="G65370"/>
    <cellWatch r="G65371"/>
    <cellWatch r="G65372"/>
    <cellWatch r="G65373"/>
    <cellWatch r="G65374"/>
    <cellWatch r="G65375"/>
    <cellWatch r="G65376"/>
    <cellWatch r="G65377"/>
    <cellWatch r="G65378"/>
    <cellWatch r="G65379"/>
    <cellWatch r="G65380"/>
    <cellWatch r="G65381"/>
    <cellWatch r="G65382"/>
    <cellWatch r="G65383"/>
    <cellWatch r="G65384"/>
    <cellWatch r="G65385"/>
    <cellWatch r="G65386"/>
    <cellWatch r="G65387"/>
    <cellWatch r="G65388"/>
    <cellWatch r="G65389"/>
    <cellWatch r="G65390"/>
    <cellWatch r="G65391"/>
    <cellWatch r="G65392"/>
    <cellWatch r="G65393"/>
    <cellWatch r="G65394"/>
    <cellWatch r="G65395"/>
    <cellWatch r="G65396"/>
    <cellWatch r="G65397"/>
    <cellWatch r="G65398"/>
    <cellWatch r="G65399"/>
    <cellWatch r="G65400"/>
    <cellWatch r="G65401"/>
    <cellWatch r="G65402"/>
    <cellWatch r="G65403"/>
    <cellWatch r="G65404"/>
    <cellWatch r="G65405"/>
    <cellWatch r="G65406"/>
    <cellWatch r="G65407"/>
    <cellWatch r="G65408"/>
    <cellWatch r="G65409"/>
    <cellWatch r="G65410"/>
    <cellWatch r="G65411"/>
    <cellWatch r="G65412"/>
    <cellWatch r="G65413"/>
    <cellWatch r="G65414"/>
    <cellWatch r="G65415"/>
    <cellWatch r="G65416"/>
    <cellWatch r="G65417"/>
    <cellWatch r="G65418"/>
    <cellWatch r="G65419"/>
    <cellWatch r="G65420"/>
    <cellWatch r="G65421"/>
    <cellWatch r="G65422"/>
    <cellWatch r="G65423"/>
    <cellWatch r="G65424"/>
    <cellWatch r="G65425"/>
    <cellWatch r="G65426"/>
    <cellWatch r="G65427"/>
    <cellWatch r="G65428"/>
    <cellWatch r="G65429"/>
    <cellWatch r="G65430"/>
    <cellWatch r="G65431"/>
    <cellWatch r="G65432"/>
    <cellWatch r="G65433"/>
    <cellWatch r="G65434"/>
    <cellWatch r="G65435"/>
    <cellWatch r="G65436"/>
    <cellWatch r="G65437"/>
    <cellWatch r="G65438"/>
    <cellWatch r="G65439"/>
    <cellWatch r="G65440"/>
    <cellWatch r="G65441"/>
    <cellWatch r="G65442"/>
    <cellWatch r="G65443"/>
    <cellWatch r="G65444"/>
    <cellWatch r="G65445"/>
    <cellWatch r="G65446"/>
    <cellWatch r="G65447"/>
    <cellWatch r="G65448"/>
    <cellWatch r="G65449"/>
    <cellWatch r="G65450"/>
    <cellWatch r="G65451"/>
    <cellWatch r="G65452"/>
    <cellWatch r="G65453"/>
    <cellWatch r="G65454"/>
    <cellWatch r="G65455"/>
    <cellWatch r="G65456"/>
    <cellWatch r="G65457"/>
    <cellWatch r="G65458"/>
    <cellWatch r="G65459"/>
    <cellWatch r="G65460"/>
    <cellWatch r="G65461"/>
    <cellWatch r="G65462"/>
    <cellWatch r="G65463"/>
    <cellWatch r="G65464"/>
    <cellWatch r="G65465"/>
    <cellWatch r="G65466"/>
    <cellWatch r="G65467"/>
    <cellWatch r="G65468"/>
    <cellWatch r="G65469"/>
    <cellWatch r="G65470"/>
    <cellWatch r="G65471"/>
    <cellWatch r="G65472"/>
    <cellWatch r="G65473"/>
    <cellWatch r="G65474"/>
    <cellWatch r="G65475"/>
    <cellWatch r="G65476"/>
    <cellWatch r="G65477"/>
    <cellWatch r="G65478"/>
    <cellWatch r="G65479"/>
    <cellWatch r="G65480"/>
    <cellWatch r="G65481"/>
    <cellWatch r="G65482"/>
    <cellWatch r="G65483"/>
    <cellWatch r="G65484"/>
    <cellWatch r="G65485"/>
    <cellWatch r="G65486"/>
    <cellWatch r="G65487"/>
    <cellWatch r="G65488"/>
    <cellWatch r="G65489"/>
    <cellWatch r="G65490"/>
    <cellWatch r="G65491"/>
    <cellWatch r="G65492"/>
    <cellWatch r="G65493"/>
    <cellWatch r="G65494"/>
    <cellWatch r="G65495"/>
    <cellWatch r="G65496"/>
    <cellWatch r="G65497"/>
    <cellWatch r="G65498"/>
    <cellWatch r="G65499"/>
    <cellWatch r="G65500"/>
    <cellWatch r="G65501"/>
    <cellWatch r="G65502"/>
    <cellWatch r="G65503"/>
    <cellWatch r="G65504"/>
    <cellWatch r="G65505"/>
    <cellWatch r="G65506"/>
    <cellWatch r="G65507"/>
    <cellWatch r="G65508"/>
    <cellWatch r="G65509"/>
    <cellWatch r="G65510"/>
    <cellWatch r="G65511"/>
    <cellWatch r="G65512"/>
    <cellWatch r="G65513"/>
    <cellWatch r="G65514"/>
    <cellWatch r="G65515"/>
    <cellWatch r="G65516"/>
    <cellWatch r="G65517"/>
    <cellWatch r="G65518"/>
    <cellWatch r="G65519"/>
    <cellWatch r="G65520"/>
    <cellWatch r="G65521"/>
    <cellWatch r="G65522"/>
    <cellWatch r="G65523"/>
    <cellWatch r="G65524"/>
    <cellWatch r="G65525"/>
    <cellWatch r="G65526"/>
    <cellWatch r="G65527"/>
    <cellWatch r="G65528"/>
    <cellWatch r="G65529"/>
    <cellWatch r="G65530"/>
  </cellWatche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D2530AF-24A6-4064-9584-86BDE5768FC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I1:I1048576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0CC9-766E-414C-A6DE-64B567AB28CC}">
  <dimension ref="A1:K51"/>
  <sheetViews>
    <sheetView rightToLeft="1" zoomScale="121" zoomScaleNormal="160" workbookViewId="0">
      <selection activeCell="A5" sqref="A5"/>
    </sheetView>
  </sheetViews>
  <sheetFormatPr defaultColWidth="20.69921875" defaultRowHeight="19.05" customHeight="1" x14ac:dyDescent="0.25"/>
  <cols>
    <col min="1" max="2" width="20.69921875" style="1"/>
    <col min="3" max="3" width="20.69921875" style="3"/>
    <col min="4" max="4" width="20.69921875" style="1"/>
    <col min="5" max="7" width="20.69921875" style="2"/>
    <col min="8" max="8" width="20.69921875" style="41"/>
    <col min="9" max="10" width="20.69921875" style="1"/>
    <col min="11" max="11" width="5.3984375" style="1" hidden="1" customWidth="1"/>
    <col min="12" max="16384" width="20.69921875" style="1"/>
  </cols>
  <sheetData>
    <row r="1" spans="1:11" s="19" customFormat="1" ht="47.4" customHeight="1" x14ac:dyDescent="0.25">
      <c r="A1" s="19" t="s">
        <v>309</v>
      </c>
      <c r="B1" s="19" t="s">
        <v>306</v>
      </c>
      <c r="C1" s="20" t="s">
        <v>1</v>
      </c>
      <c r="D1" s="19" t="s">
        <v>307</v>
      </c>
      <c r="E1" s="21" t="s">
        <v>308</v>
      </c>
      <c r="F1" s="21" t="s">
        <v>310</v>
      </c>
      <c r="G1" s="21" t="s">
        <v>332</v>
      </c>
      <c r="H1" s="40" t="s">
        <v>311</v>
      </c>
      <c r="I1" s="19" t="s">
        <v>312</v>
      </c>
      <c r="J1" s="19" t="s">
        <v>322</v>
      </c>
      <c r="K1" s="19" t="s">
        <v>380</v>
      </c>
    </row>
    <row r="2" spans="1:11" ht="28.8" customHeight="1" x14ac:dyDescent="0.25">
      <c r="A2" s="1">
        <f>Table4[[#This Row],[الكود الوظيفي]]</f>
        <v>4021</v>
      </c>
      <c r="B2" s="1" t="str">
        <f>'بيانات المتدربين'!$E2</f>
        <v>إياد فؤاد السعدي</v>
      </c>
      <c r="C2" s="3" t="str">
        <f>'بيانات المتدربين'!$J2</f>
        <v>2019/10/05</v>
      </c>
      <c r="D2" s="1">
        <f t="shared" ref="D2:D33" ca="1" si="0">DATEDIF(C2,TODAY(),"Y")</f>
        <v>6</v>
      </c>
      <c r="E2" s="2">
        <v>90</v>
      </c>
      <c r="F2" s="2">
        <f ca="1">IF(D2&gt;=15,E2*20%,IF(D2&gt;=10,E2*15%,IF(D2&gt;=5,E2*10%)))</f>
        <v>9</v>
      </c>
      <c r="G2" s="2">
        <f ca="1">SUM(E2+F2)</f>
        <v>99</v>
      </c>
      <c r="H2" s="41" t="s">
        <v>341</v>
      </c>
      <c r="I2" s="2">
        <f ca="1">IF(H2="M",F2*12%,IF(H2="S",F2*4%,IF(H2="R",F2*2%)))+G2</f>
        <v>99.36</v>
      </c>
      <c r="J2" s="1" t="str">
        <f ca="1">IF(OR(E2&gt;100,D2&gt;15),"متقاعد","قيد العمل")</f>
        <v>قيد العمل</v>
      </c>
      <c r="K2" s="42"/>
    </row>
    <row r="3" spans="1:11" ht="19.05" customHeight="1" x14ac:dyDescent="0.25">
      <c r="A3" s="1">
        <f>Table4[[#This Row],[الكود الوظيفي]]</f>
        <v>2014</v>
      </c>
      <c r="B3" s="1" t="str">
        <f>'بيانات المتدربين'!$E3</f>
        <v>باسل أكرم السعيد</v>
      </c>
      <c r="C3" s="3" t="str">
        <f>'بيانات المتدربين'!$J3</f>
        <v>2012/10/22</v>
      </c>
      <c r="D3" s="1">
        <f t="shared" ca="1" si="0"/>
        <v>13</v>
      </c>
      <c r="E3" s="2">
        <v>100</v>
      </c>
      <c r="F3" s="2">
        <f t="shared" ref="F3:F9" ca="1" si="1">IF(D3&gt;=15,E3*20%,IF(D3&gt;=10,E3*15%,IF(D3&gt;=5,E3*10%)))</f>
        <v>15</v>
      </c>
      <c r="G3" s="2">
        <f t="shared" ref="G3:G15" ca="1" si="2">SUM(E3+F3)</f>
        <v>115</v>
      </c>
      <c r="H3" s="41" t="s">
        <v>340</v>
      </c>
      <c r="I3" s="2">
        <f t="shared" ref="I3:I15" ca="1" si="3">IF(H3="M",F3*12%,IF(H3="S",F3*4%,IF(H3="R",F3*2%)))+G3</f>
        <v>116.8</v>
      </c>
      <c r="J3" s="1" t="str">
        <f t="shared" ref="J3:J15" ca="1" si="4">IF(OR(E3&gt;100,D3&gt;15),"متقاعد","قيد العمل")</f>
        <v>قيد العمل</v>
      </c>
      <c r="K3" s="43"/>
    </row>
    <row r="4" spans="1:11" ht="19.05" customHeight="1" x14ac:dyDescent="0.25">
      <c r="A4" s="1">
        <f>Table4[[#This Row],[الكود الوظيفي]]</f>
        <v>3013</v>
      </c>
      <c r="B4" s="1" t="str">
        <f>'بيانات المتدربين'!$E4</f>
        <v>باسم صبحي عيسى</v>
      </c>
      <c r="C4" s="3" t="str">
        <f>'بيانات المتدربين'!$J4</f>
        <v>2014/05/15</v>
      </c>
      <c r="D4" s="1">
        <f t="shared" ca="1" si="0"/>
        <v>11</v>
      </c>
      <c r="E4" s="2">
        <v>100</v>
      </c>
      <c r="F4" s="2">
        <f t="shared" ca="1" si="1"/>
        <v>15</v>
      </c>
      <c r="G4" s="2">
        <f t="shared" ca="1" si="2"/>
        <v>115</v>
      </c>
      <c r="H4" s="41" t="s">
        <v>341</v>
      </c>
      <c r="I4" s="2">
        <f t="shared" ca="1" si="3"/>
        <v>115.6</v>
      </c>
      <c r="J4" s="1" t="str">
        <f t="shared" ca="1" si="4"/>
        <v>قيد العمل</v>
      </c>
      <c r="K4" s="43"/>
    </row>
    <row r="5" spans="1:11" ht="19.05" customHeight="1" x14ac:dyDescent="0.25">
      <c r="A5" s="1">
        <f>Table4[[#This Row],[الكود الوظيفي]]</f>
        <v>1001</v>
      </c>
      <c r="B5" s="1" t="str">
        <f>'بيانات المتدربين'!$E5</f>
        <v>بانة مجد حرب</v>
      </c>
      <c r="C5" s="3">
        <f>'بيانات المتدربين'!$J5</f>
        <v>41771</v>
      </c>
      <c r="D5" s="1">
        <f t="shared" ca="1" si="0"/>
        <v>11</v>
      </c>
      <c r="E5" s="2">
        <v>260</v>
      </c>
      <c r="F5" s="2">
        <f t="shared" ca="1" si="1"/>
        <v>39</v>
      </c>
      <c r="G5" s="2">
        <f t="shared" ca="1" si="2"/>
        <v>299</v>
      </c>
      <c r="H5" s="41" t="s">
        <v>340</v>
      </c>
      <c r="I5" s="2">
        <f t="shared" ca="1" si="3"/>
        <v>303.68</v>
      </c>
      <c r="J5" s="1" t="str">
        <f t="shared" ca="1" si="4"/>
        <v>متقاعد</v>
      </c>
      <c r="K5" s="43"/>
    </row>
    <row r="6" spans="1:11" ht="19.05" customHeight="1" x14ac:dyDescent="0.25">
      <c r="A6" s="1">
        <f>Table4[[#This Row],[الكود الوظيفي]]</f>
        <v>2015</v>
      </c>
      <c r="B6" s="1" t="str">
        <f>'بيانات المتدربين'!$E6</f>
        <v>بشار مؤيد جود</v>
      </c>
      <c r="C6" s="3" t="str">
        <f>'بيانات المتدربين'!$J6</f>
        <v>2014/01/25</v>
      </c>
      <c r="D6" s="1">
        <f t="shared" ca="1" si="0"/>
        <v>12</v>
      </c>
      <c r="E6" s="2">
        <v>100</v>
      </c>
      <c r="F6" s="2">
        <f t="shared" ca="1" si="1"/>
        <v>15</v>
      </c>
      <c r="G6" s="2">
        <f t="shared" ca="1" si="2"/>
        <v>115</v>
      </c>
      <c r="H6" s="41" t="s">
        <v>340</v>
      </c>
      <c r="I6" s="2">
        <f t="shared" ca="1" si="3"/>
        <v>116.8</v>
      </c>
      <c r="J6" s="1" t="str">
        <f t="shared" ca="1" si="4"/>
        <v>قيد العمل</v>
      </c>
      <c r="K6" s="43"/>
    </row>
    <row r="7" spans="1:11" ht="19.05" customHeight="1" x14ac:dyDescent="0.25">
      <c r="A7" s="1">
        <f>Table4[[#This Row],[الكود الوظيفي]]</f>
        <v>2016</v>
      </c>
      <c r="B7" s="1" t="str">
        <f>'بيانات المتدربين'!$E7</f>
        <v>بشر لؤي المصري</v>
      </c>
      <c r="C7" s="3" t="str">
        <f>'بيانات المتدربين'!$J7</f>
        <v>2013/07/15</v>
      </c>
      <c r="D7" s="1">
        <f t="shared" ca="1" si="0"/>
        <v>12</v>
      </c>
      <c r="E7" s="2">
        <v>100</v>
      </c>
      <c r="F7" s="2">
        <f t="shared" ca="1" si="1"/>
        <v>15</v>
      </c>
      <c r="G7" s="2">
        <f t="shared" ca="1" si="2"/>
        <v>115</v>
      </c>
      <c r="H7" s="41" t="s">
        <v>340</v>
      </c>
      <c r="I7" s="2">
        <f t="shared" ca="1" si="3"/>
        <v>116.8</v>
      </c>
      <c r="J7" s="1" t="str">
        <f t="shared" ca="1" si="4"/>
        <v>قيد العمل</v>
      </c>
      <c r="K7" s="43"/>
    </row>
    <row r="8" spans="1:11" ht="19.05" customHeight="1" x14ac:dyDescent="0.25">
      <c r="A8" s="1">
        <f>Table4[[#This Row],[الكود الوظيفي]]</f>
        <v>3021</v>
      </c>
      <c r="B8" s="1" t="str">
        <f>'بيانات المتدربين'!$E8</f>
        <v>تامر جلال عوض</v>
      </c>
      <c r="C8" s="3" t="str">
        <f>'بيانات المتدربين'!$J8</f>
        <v>2016/11/30</v>
      </c>
      <c r="D8" s="1">
        <f t="shared" ca="1" si="0"/>
        <v>9</v>
      </c>
      <c r="E8" s="2">
        <v>100</v>
      </c>
      <c r="F8" s="2">
        <f t="shared" ca="1" si="1"/>
        <v>10</v>
      </c>
      <c r="G8" s="2">
        <f t="shared" ca="1" si="2"/>
        <v>110</v>
      </c>
      <c r="H8" s="41" t="s">
        <v>341</v>
      </c>
      <c r="I8" s="2">
        <f t="shared" ca="1" si="3"/>
        <v>110.4</v>
      </c>
      <c r="J8" s="1" t="str">
        <f t="shared" ca="1" si="4"/>
        <v>قيد العمل</v>
      </c>
      <c r="K8" s="43"/>
    </row>
    <row r="9" spans="1:11" ht="19.05" customHeight="1" x14ac:dyDescent="0.25">
      <c r="A9" s="1">
        <f>Table4[[#This Row],[الكود الوظيفي]]</f>
        <v>4026</v>
      </c>
      <c r="B9" s="1" t="str">
        <f>'بيانات المتدربين'!$E9</f>
        <v>تامر شادي الشريف</v>
      </c>
      <c r="C9" s="3" t="str">
        <f>'بيانات المتدربين'!$J9</f>
        <v>2019/04/10</v>
      </c>
      <c r="D9" s="1">
        <f t="shared" ca="1" si="0"/>
        <v>7</v>
      </c>
      <c r="E9" s="2">
        <v>125</v>
      </c>
      <c r="F9" s="2">
        <f t="shared" ca="1" si="1"/>
        <v>12.5</v>
      </c>
      <c r="G9" s="2">
        <f t="shared" ca="1" si="2"/>
        <v>137.5</v>
      </c>
      <c r="H9" s="41" t="s">
        <v>341</v>
      </c>
      <c r="I9" s="2">
        <f t="shared" ca="1" si="3"/>
        <v>138</v>
      </c>
      <c r="J9" s="1" t="str">
        <f t="shared" ca="1" si="4"/>
        <v>متقاعد</v>
      </c>
      <c r="K9" s="43"/>
    </row>
    <row r="10" spans="1:11" ht="19.05" customHeight="1" x14ac:dyDescent="0.25">
      <c r="A10" s="1">
        <f>Table4[[#This Row],[الكود الوظيفي]]</f>
        <v>3013</v>
      </c>
      <c r="B10" s="1" t="str">
        <f>'بيانات المتدربين'!$E10</f>
        <v>جنى راشد العطار</v>
      </c>
      <c r="C10" s="3" t="str">
        <f>'بيانات المتدربين'!$J10</f>
        <v>2013/09/20</v>
      </c>
      <c r="D10" s="1">
        <f t="shared" ca="1" si="0"/>
        <v>12</v>
      </c>
      <c r="E10" s="2">
        <v>250</v>
      </c>
      <c r="F10" s="2">
        <f t="shared" ref="F10:F15" ca="1" si="5">IF(D10&gt;=5,E10*5%,"ما عنا زيادة")</f>
        <v>12.5</v>
      </c>
      <c r="G10" s="2">
        <f t="shared" ca="1" si="2"/>
        <v>262.5</v>
      </c>
      <c r="H10" s="41" t="s">
        <v>340</v>
      </c>
      <c r="I10" s="2">
        <f t="shared" ca="1" si="3"/>
        <v>264</v>
      </c>
      <c r="J10" s="1" t="str">
        <f t="shared" ca="1" si="4"/>
        <v>متقاعد</v>
      </c>
    </row>
    <row r="11" spans="1:11" ht="19.05" customHeight="1" x14ac:dyDescent="0.25">
      <c r="A11" s="1">
        <f>Table4[[#This Row],[الكود الوظيفي]]</f>
        <v>2013</v>
      </c>
      <c r="B11" s="1" t="str">
        <f>'بيانات المتدربين'!$E11</f>
        <v>حمزة عياش المحمد</v>
      </c>
      <c r="C11" s="3" t="str">
        <f>'بيانات المتدربين'!$J11</f>
        <v>2014/07/20</v>
      </c>
      <c r="D11" s="1">
        <f t="shared" ca="1" si="0"/>
        <v>11</v>
      </c>
      <c r="E11" s="2">
        <v>140</v>
      </c>
      <c r="F11" s="2">
        <f t="shared" ca="1" si="5"/>
        <v>7</v>
      </c>
      <c r="G11" s="2">
        <f t="shared" ca="1" si="2"/>
        <v>147</v>
      </c>
      <c r="H11" s="41" t="s">
        <v>341</v>
      </c>
      <c r="I11" s="2">
        <f t="shared" ca="1" si="3"/>
        <v>147.28</v>
      </c>
      <c r="J11" s="1" t="str">
        <f t="shared" ca="1" si="4"/>
        <v>متقاعد</v>
      </c>
    </row>
    <row r="12" spans="1:11" ht="19.05" customHeight="1" x14ac:dyDescent="0.25">
      <c r="A12" s="1">
        <f>Table4[[#This Row],[الكود الوظيفي]]</f>
        <v>1002</v>
      </c>
      <c r="B12" s="1" t="str">
        <f>'بيانات المتدربين'!$E12</f>
        <v>خالد عمر المصري</v>
      </c>
      <c r="C12" s="3" t="str">
        <f>'بيانات المتدربين'!$J12</f>
        <v>2009/01/25</v>
      </c>
      <c r="D12" s="1">
        <f t="shared" ca="1" si="0"/>
        <v>17</v>
      </c>
      <c r="E12" s="2">
        <v>120</v>
      </c>
      <c r="F12" s="2">
        <f t="shared" ca="1" si="5"/>
        <v>6</v>
      </c>
      <c r="G12" s="2">
        <f t="shared" ca="1" si="2"/>
        <v>126</v>
      </c>
      <c r="H12" s="41" t="s">
        <v>340</v>
      </c>
      <c r="I12" s="2">
        <f t="shared" ca="1" si="3"/>
        <v>126.72</v>
      </c>
      <c r="J12" s="1" t="str">
        <f t="shared" ca="1" si="4"/>
        <v>متقاعد</v>
      </c>
    </row>
    <row r="13" spans="1:11" ht="19.05" customHeight="1" x14ac:dyDescent="0.25">
      <c r="A13" s="1">
        <f>Table4[[#This Row],[الكود الوظيفي]]</f>
        <v>3018</v>
      </c>
      <c r="B13" s="1" t="str">
        <f>'بيانات المتدربين'!$E13</f>
        <v>خلود صائب بكر</v>
      </c>
      <c r="C13" s="3" t="str">
        <f>'بيانات المتدربين'!$J13</f>
        <v>2017/11/10</v>
      </c>
      <c r="D13" s="1">
        <f t="shared" ca="1" si="0"/>
        <v>8</v>
      </c>
      <c r="E13" s="2">
        <v>300</v>
      </c>
      <c r="F13" s="2">
        <f t="shared" ca="1" si="5"/>
        <v>15</v>
      </c>
      <c r="G13" s="2">
        <f ca="1">SUM(E13+F13)</f>
        <v>315</v>
      </c>
      <c r="H13" s="41" t="s">
        <v>333</v>
      </c>
      <c r="I13" s="2">
        <f t="shared" ca="1" si="3"/>
        <v>315.3</v>
      </c>
      <c r="J13" s="1" t="str">
        <f t="shared" ca="1" si="4"/>
        <v>متقاعد</v>
      </c>
    </row>
    <row r="14" spans="1:11" ht="19.05" customHeight="1" x14ac:dyDescent="0.25">
      <c r="A14" s="1">
        <f>Table4[[#This Row],[الكود الوظيفي]]</f>
        <v>4019</v>
      </c>
      <c r="B14" s="1" t="str">
        <f>'بيانات المتدربين'!$E14</f>
        <v>دينا نبيل بركات</v>
      </c>
      <c r="C14" s="3" t="str">
        <f>'بيانات المتدربين'!$J14</f>
        <v>2019/01/15</v>
      </c>
      <c r="D14" s="1">
        <f t="shared" ca="1" si="0"/>
        <v>7</v>
      </c>
      <c r="E14" s="2">
        <v>123</v>
      </c>
      <c r="F14" s="2">
        <f t="shared" ca="1" si="5"/>
        <v>6.15</v>
      </c>
      <c r="G14" s="2">
        <f t="shared" ca="1" si="2"/>
        <v>129.15</v>
      </c>
      <c r="H14" s="41" t="s">
        <v>333</v>
      </c>
      <c r="I14" s="2">
        <f t="shared" ca="1" si="3"/>
        <v>129.273</v>
      </c>
      <c r="J14" s="1" t="str">
        <f t="shared" ca="1" si="4"/>
        <v>متقاعد</v>
      </c>
    </row>
    <row r="15" spans="1:11" ht="19.05" customHeight="1" x14ac:dyDescent="0.25">
      <c r="A15" s="1">
        <f>Table4[[#This Row],[الكود الوظيفي]]</f>
        <v>4024</v>
      </c>
      <c r="B15" s="1" t="str">
        <f>'بيانات المتدربين'!$E15</f>
        <v>رامي غياث طعمة</v>
      </c>
      <c r="C15" s="3" t="str">
        <f>'بيانات المتدربين'!$J15</f>
        <v>2018/03/30</v>
      </c>
      <c r="D15" s="1">
        <f t="shared" ca="1" si="0"/>
        <v>8</v>
      </c>
      <c r="E15" s="2">
        <v>145</v>
      </c>
      <c r="F15" s="2">
        <f t="shared" ca="1" si="5"/>
        <v>7.25</v>
      </c>
      <c r="G15" s="2">
        <f t="shared" ca="1" si="2"/>
        <v>152.25</v>
      </c>
      <c r="H15" s="41" t="s">
        <v>333</v>
      </c>
      <c r="I15" s="2">
        <f t="shared" ca="1" si="3"/>
        <v>152.39500000000001</v>
      </c>
      <c r="J15" s="1" t="str">
        <f t="shared" ca="1" si="4"/>
        <v>متقاعد</v>
      </c>
    </row>
    <row r="16" spans="1:11" ht="19.05" customHeight="1" x14ac:dyDescent="0.25">
      <c r="A16" s="1">
        <f>Table4[[#This Row],[الكود الوظيفي]]</f>
        <v>4017</v>
      </c>
      <c r="B16" s="1" t="str">
        <f>'بيانات المتدربين'!$E16</f>
        <v>رشا عبد الله صقر</v>
      </c>
      <c r="C16" s="3" t="str">
        <f>'بيانات المتدربين'!$J16</f>
        <v>2019/06/25</v>
      </c>
      <c r="D16" s="1">
        <f t="shared" ca="1" si="0"/>
        <v>6</v>
      </c>
    </row>
    <row r="17" spans="1:4" ht="19.05" customHeight="1" x14ac:dyDescent="0.25">
      <c r="A17" s="1">
        <f>Table4[[#This Row],[الكود الوظيفي]]</f>
        <v>4018</v>
      </c>
      <c r="B17" s="1" t="str">
        <f>'بيانات المتدربين'!$E17</f>
        <v>رغد عدنان حمد</v>
      </c>
      <c r="C17" s="3" t="str">
        <f>'بيانات المتدربين'!$J17</f>
        <v>2017/08/20</v>
      </c>
      <c r="D17" s="1">
        <f t="shared" ca="1" si="0"/>
        <v>8</v>
      </c>
    </row>
    <row r="18" spans="1:4" ht="19.05" customHeight="1" x14ac:dyDescent="0.25">
      <c r="A18" s="1">
        <f>Table4[[#This Row],[الكود الوظيفي]]</f>
        <v>3012</v>
      </c>
      <c r="B18" s="1" t="str">
        <f>'بيانات المتدربين'!$E18</f>
        <v>زياد مطيع العبود</v>
      </c>
      <c r="C18" s="3" t="str">
        <f>'بيانات المتدربين'!$J18</f>
        <v>2016/10/18</v>
      </c>
      <c r="D18" s="1">
        <f t="shared" ca="1" si="0"/>
        <v>9</v>
      </c>
    </row>
    <row r="19" spans="1:4" ht="19.05" customHeight="1" x14ac:dyDescent="0.25">
      <c r="A19" s="1">
        <f>Table4[[#This Row],[الكود الوظيفي]]</f>
        <v>3010</v>
      </c>
      <c r="B19" s="1" t="str">
        <f>'بيانات المتدربين'!$E19</f>
        <v>سامر وليد الخطيب</v>
      </c>
      <c r="C19" s="3" t="str">
        <f>'بيانات المتدربين'!$J19</f>
        <v>2015/03/15</v>
      </c>
      <c r="D19" s="1">
        <f t="shared" ca="1" si="0"/>
        <v>11</v>
      </c>
    </row>
    <row r="20" spans="1:4" ht="19.05" customHeight="1" x14ac:dyDescent="0.25">
      <c r="A20" s="1">
        <f>Table4[[#This Row],[الكود الوظيفي]]</f>
        <v>2009</v>
      </c>
      <c r="B20" s="1" t="str">
        <f>'بيانات المتدربين'!$E20</f>
        <v>سحر ماجد القاضي</v>
      </c>
      <c r="C20" s="3" t="str">
        <f>'بيانات المتدربين'!$J20</f>
        <v>2013/05/10</v>
      </c>
      <c r="D20" s="1">
        <f t="shared" ca="1" si="0"/>
        <v>12</v>
      </c>
    </row>
    <row r="21" spans="1:4" ht="19.05" customHeight="1" x14ac:dyDescent="0.25">
      <c r="A21" s="1">
        <f>Table4[[#This Row],[الكود الوظيفي]]</f>
        <v>2010</v>
      </c>
      <c r="B21" s="1" t="str">
        <f>'بيانات المتدربين'!$E21</f>
        <v>سلمى بشار الحكيم</v>
      </c>
      <c r="C21" s="3" t="str">
        <f>'بيانات المتدربين'!$J21</f>
        <v>2011/02/28</v>
      </c>
      <c r="D21" s="1">
        <f t="shared" ca="1" si="0"/>
        <v>15</v>
      </c>
    </row>
    <row r="22" spans="1:4" ht="19.05" customHeight="1" x14ac:dyDescent="0.25">
      <c r="A22" s="1">
        <f>Table4[[#This Row],[الكود الوظيفي]]</f>
        <v>1011</v>
      </c>
      <c r="B22" s="1" t="str">
        <f>'بيانات المتدربين'!$E22</f>
        <v>سلوى ممدوح السيد</v>
      </c>
      <c r="C22" s="3" t="str">
        <f>'بيانات المتدربين'!$J22</f>
        <v>2011/08/10</v>
      </c>
      <c r="D22" s="1">
        <f t="shared" ca="1" si="0"/>
        <v>14</v>
      </c>
    </row>
    <row r="23" spans="1:4" ht="19.05" customHeight="1" x14ac:dyDescent="0.25">
      <c r="A23" s="1">
        <f>Table4[[#This Row],[الكود الوظيفي]]</f>
        <v>3012</v>
      </c>
      <c r="B23" s="1" t="str">
        <f>'بيانات المتدربين'!$E23</f>
        <v>صفاء عصمت الرفاعي</v>
      </c>
      <c r="C23" s="3" t="str">
        <f>'بيانات المتدربين'!$J23</f>
        <v>2017/06/14</v>
      </c>
      <c r="D23" s="1">
        <f t="shared" ca="1" si="0"/>
        <v>8</v>
      </c>
    </row>
    <row r="24" spans="1:4" ht="19.05" customHeight="1" x14ac:dyDescent="0.25">
      <c r="A24" s="1">
        <f>Table4[[#This Row],[الكود الوظيفي]]</f>
        <v>1004</v>
      </c>
      <c r="B24" s="1" t="str">
        <f>'بيانات المتدربين'!$E24</f>
        <v>طارق منير الخوري</v>
      </c>
      <c r="C24" s="3" t="str">
        <f>'بيانات المتدربين'!$J24</f>
        <v>2008/03/12</v>
      </c>
      <c r="D24" s="1">
        <f t="shared" ca="1" si="0"/>
        <v>18</v>
      </c>
    </row>
    <row r="25" spans="1:4" ht="19.05" customHeight="1" x14ac:dyDescent="0.25">
      <c r="A25" s="1">
        <f>Table4[[#This Row],[الكود الوظيفي]]</f>
        <v>4022</v>
      </c>
      <c r="B25" s="1" t="str">
        <f>'بيانات المتدربين'!$E25</f>
        <v>طلال أسامة فوزي</v>
      </c>
      <c r="C25" s="3" t="str">
        <f>'بيانات المتدربين'!$J25</f>
        <v>2018/08/14</v>
      </c>
      <c r="D25" s="1">
        <f t="shared" ca="1" si="0"/>
        <v>7</v>
      </c>
    </row>
    <row r="26" spans="1:4" ht="19.05" customHeight="1" x14ac:dyDescent="0.25">
      <c r="A26" s="1">
        <f>Table4[[#This Row],[الكود الوظيفي]]</f>
        <v>4020</v>
      </c>
      <c r="B26" s="1" t="str">
        <f>'بيانات المتدربين'!$E26</f>
        <v>عبير سيف الدين</v>
      </c>
      <c r="C26" s="3" t="str">
        <f>'بيانات المتدربين'!$J26</f>
        <v>2017/12/01</v>
      </c>
      <c r="D26" s="1">
        <f t="shared" ca="1" si="0"/>
        <v>8</v>
      </c>
    </row>
    <row r="27" spans="1:4" ht="19.05" customHeight="1" x14ac:dyDescent="0.25">
      <c r="A27" s="1">
        <f>Table4[[#This Row],[الكود الوظيفي]]</f>
        <v>1013</v>
      </c>
      <c r="B27" s="1" t="str">
        <f>'بيانات المتدربين'!$E27</f>
        <v>عزة خيري بيك</v>
      </c>
      <c r="C27" s="3" t="str">
        <f>'بيانات المتدربين'!$J27</f>
        <v>2008/09/05</v>
      </c>
      <c r="D27" s="1">
        <f t="shared" ca="1" si="0"/>
        <v>17</v>
      </c>
    </row>
    <row r="28" spans="1:4" ht="19.05" customHeight="1" x14ac:dyDescent="0.25">
      <c r="A28" s="1">
        <f>Table4[[#This Row],[الكود الوظيفي]]</f>
        <v>4023</v>
      </c>
      <c r="B28" s="1" t="str">
        <f>'بيانات المتدربين'!$E28</f>
        <v>عصام رشيد عثمان</v>
      </c>
      <c r="C28" s="3" t="str">
        <f>'بيانات المتدربين'!$J28</f>
        <v>2020/02/05</v>
      </c>
      <c r="D28" s="1">
        <f t="shared" ca="1" si="0"/>
        <v>6</v>
      </c>
    </row>
    <row r="29" spans="1:4" ht="19.05" customHeight="1" x14ac:dyDescent="0.25">
      <c r="A29" s="1">
        <f>Table4[[#This Row],[الكود الوظيفي]]</f>
        <v>4025</v>
      </c>
      <c r="B29" s="1" t="str">
        <f>'بيانات المتدربين'!$E29</f>
        <v>علاء تيسير حمود</v>
      </c>
      <c r="C29" s="3" t="str">
        <f>'بيانات المتدربين'!$J29</f>
        <v>2020/09/01</v>
      </c>
      <c r="D29" s="1">
        <f t="shared" ca="1" si="0"/>
        <v>5</v>
      </c>
    </row>
    <row r="30" spans="1:4" ht="19.05" customHeight="1" x14ac:dyDescent="0.25">
      <c r="A30" s="1">
        <f>Table4[[#This Row],[الكود الوظيفي]]</f>
        <v>3014</v>
      </c>
      <c r="B30" s="1" t="str">
        <f>'بيانات المتدربين'!$E30</f>
        <v>عمار زهير الصالح</v>
      </c>
      <c r="C30" s="3" t="str">
        <f>'بيانات المتدربين'!$J30</f>
        <v>2016/09/05</v>
      </c>
      <c r="D30" s="1">
        <f t="shared" ca="1" si="0"/>
        <v>9</v>
      </c>
    </row>
    <row r="31" spans="1:4" ht="19.05" customHeight="1" x14ac:dyDescent="0.25">
      <c r="A31" s="1">
        <f>Table4[[#This Row],[الكود الوظيفي]]</f>
        <v>3015</v>
      </c>
      <c r="B31" s="1" t="str">
        <f>'بيانات المتدربين'!$E31</f>
        <v>فادي مروان سلامة</v>
      </c>
      <c r="C31" s="3" t="str">
        <f>'بيانات المتدربين'!$J31</f>
        <v>2014/08/14</v>
      </c>
      <c r="D31" s="1">
        <f t="shared" ca="1" si="0"/>
        <v>11</v>
      </c>
    </row>
    <row r="32" spans="1:4" ht="19.05" customHeight="1" x14ac:dyDescent="0.25">
      <c r="A32" s="1">
        <f>Table4[[#This Row],[الكود الوظيفي]]</f>
        <v>2005</v>
      </c>
      <c r="B32" s="1" t="str">
        <f>'بيانات المتدربين'!$E32</f>
        <v>فاطمة محمود الحسن</v>
      </c>
      <c r="C32" s="3" t="str">
        <f>'بيانات المتدربين'!$J32</f>
        <v>2012/08/20</v>
      </c>
      <c r="D32" s="1">
        <f t="shared" ca="1" si="0"/>
        <v>13</v>
      </c>
    </row>
    <row r="33" spans="1:4" ht="19.05" customHeight="1" x14ac:dyDescent="0.25">
      <c r="A33" s="1">
        <f>Table4[[#This Row],[الكود الوظيفي]]</f>
        <v>2012</v>
      </c>
      <c r="B33" s="1" t="str">
        <f>'بيانات المتدربين'!$E33</f>
        <v>فراس تميم العمر</v>
      </c>
      <c r="C33" s="3" t="str">
        <f>'بيانات المتدربين'!$J33</f>
        <v>2012/01/30</v>
      </c>
      <c r="D33" s="1">
        <f t="shared" ca="1" si="0"/>
        <v>14</v>
      </c>
    </row>
    <row r="34" spans="1:4" ht="19.05" customHeight="1" x14ac:dyDescent="0.25">
      <c r="A34" s="1">
        <f>Table4[[#This Row],[الكود الوظيفي]]</f>
        <v>1007</v>
      </c>
      <c r="B34" s="1" t="str">
        <f>'بيانات المتدربين'!$E34</f>
        <v>قيس حاتم الراوي</v>
      </c>
      <c r="C34" s="3" t="str">
        <f>'بيانات المتدربين'!$J34</f>
        <v>2010/06/15</v>
      </c>
      <c r="D34" s="1">
        <f t="shared" ref="D34:D51" ca="1" si="6">DATEDIF(C34,TODAY(),"Y")</f>
        <v>15</v>
      </c>
    </row>
    <row r="35" spans="1:4" ht="19.05" customHeight="1" x14ac:dyDescent="0.25">
      <c r="A35" s="1">
        <f>Table4[[#This Row],[الكود الوظيفي]]</f>
        <v>1009</v>
      </c>
      <c r="B35" s="1" t="str">
        <f>'بيانات المتدربين'!$E35</f>
        <v>لمى نوري الشعلان</v>
      </c>
      <c r="C35" s="3" t="str">
        <f>'بيانات المتدربين'!$J35</f>
        <v>2011/03/15</v>
      </c>
      <c r="D35" s="1">
        <f t="shared" ca="1" si="6"/>
        <v>15</v>
      </c>
    </row>
    <row r="36" spans="1:4" ht="19.05" customHeight="1" x14ac:dyDescent="0.25">
      <c r="A36" s="1">
        <f>Table4[[#This Row],[الكود الوظيفي]]</f>
        <v>4015</v>
      </c>
      <c r="B36" s="1" t="str">
        <f>'بيانات المتدربين'!$E36</f>
        <v>ليلى عبد الرحمن يوسف</v>
      </c>
      <c r="C36" s="3" t="str">
        <f>'بيانات المتدربين'!$J36</f>
        <v>2018/11/02</v>
      </c>
      <c r="D36" s="1">
        <f t="shared" ca="1" si="6"/>
        <v>7</v>
      </c>
    </row>
    <row r="37" spans="1:4" ht="19.05" customHeight="1" x14ac:dyDescent="0.25">
      <c r="A37" s="1">
        <f>Table4[[#This Row],[الكود الوظيفي]]</f>
        <v>3016</v>
      </c>
      <c r="B37" s="1" t="str">
        <f>'بيانات المتدربين'!$E37</f>
        <v>مازن وفيق شاهين</v>
      </c>
      <c r="C37" s="3" t="str">
        <f>'بيانات المتدربين'!$J37</f>
        <v>2016/04/10</v>
      </c>
      <c r="D37" s="1">
        <f t="shared" ca="1" si="6"/>
        <v>10</v>
      </c>
    </row>
    <row r="38" spans="1:4" ht="19.05" customHeight="1" x14ac:dyDescent="0.25">
      <c r="A38" s="1">
        <f>Table4[[#This Row],[الكود الوظيفي]]</f>
        <v>1012</v>
      </c>
      <c r="B38" s="1" t="str">
        <f>'بيانات المتدربين'!$E38</f>
        <v>مروة يونس الناصر</v>
      </c>
      <c r="C38" s="3" t="str">
        <f>'بيانات المتدربين'!$J38</f>
        <v>2010/02/20</v>
      </c>
      <c r="D38" s="1">
        <f t="shared" ca="1" si="6"/>
        <v>16</v>
      </c>
    </row>
    <row r="39" spans="1:4" ht="19.05" customHeight="1" x14ac:dyDescent="0.25">
      <c r="A39" s="1">
        <f>Table4[[#This Row],[الكود الوظيفي]]</f>
        <v>2006</v>
      </c>
      <c r="B39" s="1" t="str">
        <f>'بيانات المتدربين'!$E39</f>
        <v>مريم إبراهيم الدالي</v>
      </c>
      <c r="C39" s="3" t="str">
        <f>'بيانات المتدربين'!$J39</f>
        <v>2011/07/14</v>
      </c>
      <c r="D39" s="1">
        <f t="shared" ca="1" si="6"/>
        <v>14</v>
      </c>
    </row>
    <row r="40" spans="1:4" ht="19.05" customHeight="1" x14ac:dyDescent="0.25">
      <c r="A40" s="1">
        <f>Table4[[#This Row],[الكود الوظيفي]]</f>
        <v>1003</v>
      </c>
      <c r="B40" s="1" t="str">
        <f>'بيانات المتدربين'!$E40</f>
        <v>مصطفى كمال الزين</v>
      </c>
      <c r="C40" s="3" t="str">
        <f>'بيانات المتدربين'!$J40</f>
        <v>2010/09/10</v>
      </c>
      <c r="D40" s="1">
        <f t="shared" ca="1" si="6"/>
        <v>15</v>
      </c>
    </row>
    <row r="41" spans="1:4" ht="19.05" customHeight="1" x14ac:dyDescent="0.25">
      <c r="A41" s="1">
        <f>Table4[[#This Row],[الكود الوظيفي]]</f>
        <v>2008</v>
      </c>
      <c r="B41" s="1" t="str">
        <f>'بيانات المتدربين'!$E41</f>
        <v>منى عادل خليل</v>
      </c>
      <c r="C41" s="3" t="str">
        <f>'بيانات المتدربين'!$J41</f>
        <v>2011/11/30</v>
      </c>
      <c r="D41" s="1">
        <f t="shared" ca="1" si="6"/>
        <v>14</v>
      </c>
    </row>
    <row r="42" spans="1:4" ht="19.05" customHeight="1" x14ac:dyDescent="0.25">
      <c r="A42" s="1">
        <f>Table4[[#This Row],[الكود الوظيفي]]</f>
        <v>1010</v>
      </c>
      <c r="B42" s="1" t="str">
        <f>'بيانات المتدربين'!$E42</f>
        <v>ميادة توفيق حمدان</v>
      </c>
      <c r="C42" s="3" t="str">
        <f>'بيانات المتدربين'!$J42</f>
        <v>2009/05/12</v>
      </c>
      <c r="D42" s="1">
        <f t="shared" ca="1" si="6"/>
        <v>16</v>
      </c>
    </row>
    <row r="43" spans="1:4" ht="19.05" customHeight="1" x14ac:dyDescent="0.25">
      <c r="A43" s="1">
        <f>Table4[[#This Row],[الكود الوظيفي]]</f>
        <v>3019</v>
      </c>
      <c r="B43" s="1" t="str">
        <f>'بيانات المتدربين'!$E43</f>
        <v>نجلاء ظافر العبد</v>
      </c>
      <c r="C43" s="3" t="str">
        <f>'بيانات المتدربين'!$J43</f>
        <v>2015/12/15</v>
      </c>
      <c r="D43" s="1">
        <f t="shared" ca="1" si="6"/>
        <v>10</v>
      </c>
    </row>
    <row r="44" spans="1:4" ht="19.05" customHeight="1" x14ac:dyDescent="0.25">
      <c r="A44" s="1">
        <f>Table4[[#This Row],[الكود الوظيفي]]</f>
        <v>1008</v>
      </c>
      <c r="B44" s="1" t="str">
        <f>'بيانات المتدربين'!$E44</f>
        <v>ندى موفق درويش</v>
      </c>
      <c r="C44" s="3" t="str">
        <f>'بيانات المتدربين'!$J44</f>
        <v>2008/11/12</v>
      </c>
      <c r="D44" s="1">
        <f t="shared" ca="1" si="6"/>
        <v>17</v>
      </c>
    </row>
    <row r="45" spans="1:4" ht="19.05" customHeight="1" x14ac:dyDescent="0.25">
      <c r="A45" s="1">
        <f>Table4[[#This Row],[الكود الوظيفي]]</f>
        <v>4016</v>
      </c>
      <c r="B45" s="1" t="str">
        <f>'بيانات المتدربين'!$E45</f>
        <v>نور الهدى صالح</v>
      </c>
      <c r="C45" s="3" t="str">
        <f>'بيانات المتدربين'!$J45</f>
        <v>2017/04/22</v>
      </c>
      <c r="D45" s="1">
        <f t="shared" ca="1" si="6"/>
        <v>9</v>
      </c>
    </row>
    <row r="46" spans="1:4" ht="19.05" customHeight="1" x14ac:dyDescent="0.25">
      <c r="A46" s="1">
        <f>Table4[[#This Row],[الكود الوظيفي]]</f>
        <v>2007</v>
      </c>
      <c r="B46" s="1" t="str">
        <f>'بيانات المتدربين'!$E46</f>
        <v>هالة سمير غانم</v>
      </c>
      <c r="C46" s="3" t="str">
        <f>'بيانات المتدربين'!$J46</f>
        <v>2013/02/05</v>
      </c>
      <c r="D46" s="1">
        <f t="shared" ca="1" si="6"/>
        <v>13</v>
      </c>
    </row>
    <row r="47" spans="1:4" ht="19.05" customHeight="1" x14ac:dyDescent="0.25">
      <c r="A47" s="1">
        <f>Table4[[#This Row],[الكود الوظيفي]]</f>
        <v>3017</v>
      </c>
      <c r="B47" s="1" t="str">
        <f>'بيانات المتدربين'!$E47</f>
        <v>هبة نزار المرعي</v>
      </c>
      <c r="C47" s="3" t="str">
        <f>'بيانات المتدربين'!$J47</f>
        <v>2015/05/25</v>
      </c>
      <c r="D47" s="1">
        <f t="shared" ca="1" si="6"/>
        <v>10</v>
      </c>
    </row>
    <row r="48" spans="1:4" ht="19.05" customHeight="1" x14ac:dyDescent="0.25">
      <c r="A48" s="1">
        <f>Table4[[#This Row],[الكود الوظيفي]]</f>
        <v>1005</v>
      </c>
      <c r="B48" s="1" t="str">
        <f>'بيانات المتدربين'!$E48</f>
        <v>هيثم توفيق منصور</v>
      </c>
      <c r="C48" s="3" t="str">
        <f>'بيانات المتدربين'!$J48</f>
        <v>2010/12/01</v>
      </c>
      <c r="D48" s="1">
        <f t="shared" ca="1" si="6"/>
        <v>15</v>
      </c>
    </row>
    <row r="49" spans="1:4" ht="19.05" customHeight="1" x14ac:dyDescent="0.25">
      <c r="A49" s="1">
        <f>Table4[[#This Row],[الكود الوظيفي]]</f>
        <v>1006</v>
      </c>
      <c r="B49" s="1" t="str">
        <f>'بيانات المتدربين'!$E49</f>
        <v>وائل غسان حداد</v>
      </c>
      <c r="C49" s="3" t="str">
        <f>'بيانات المتدربين'!$J49</f>
        <v>2007/04/22</v>
      </c>
      <c r="D49" s="1">
        <f t="shared" ca="1" si="6"/>
        <v>19</v>
      </c>
    </row>
    <row r="50" spans="1:4" ht="19.05" customHeight="1" x14ac:dyDescent="0.25">
      <c r="A50" s="1">
        <f>Table4[[#This Row],[الكود الوظيفي]]</f>
        <v>3011</v>
      </c>
      <c r="B50" s="1" t="str">
        <f>'بيانات المتدربين'!$E50</f>
        <v>ياسر فايز الجاسم</v>
      </c>
      <c r="C50" s="3" t="str">
        <f>'بيانات المتدربين'!$J50</f>
        <v>2014/12/30</v>
      </c>
      <c r="D50" s="1">
        <f t="shared" ca="1" si="6"/>
        <v>11</v>
      </c>
    </row>
    <row r="51" spans="1:4" ht="19.05" customHeight="1" x14ac:dyDescent="0.25">
      <c r="A51" s="1">
        <f>Table4[[#This Row],[الكود الوظيفي]]</f>
        <v>2017</v>
      </c>
      <c r="B51" s="1" t="str">
        <f>'بيانات المتدربين'!$E51</f>
        <v>يمان ظهير الحسن</v>
      </c>
      <c r="C51" s="3" t="str">
        <f>'بيانات المتدربين'!$J51</f>
        <v>2012/05/12</v>
      </c>
      <c r="D51" s="1">
        <f t="shared" ca="1" si="6"/>
        <v>13</v>
      </c>
    </row>
  </sheetData>
  <conditionalFormatting sqref="D1:D1048576">
    <cfRule type="iconSet" priority="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1:F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{E0733452-7830-46AC-8451-A07387E12D75}</x14:id>
        </ext>
      </extLst>
    </cfRule>
  </conditionalFormatting>
  <conditionalFormatting sqref="F1:F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{6C3CFBFF-95D6-45B6-AC31-CF65478AE972}</x14:id>
        </ext>
      </extLst>
    </cfRule>
  </conditionalFormatting>
  <conditionalFormatting sqref="G2:G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{14BFDB2C-041B-4455-99A3-2820BCB5FB94}</x14:id>
        </ext>
      </extLst>
    </cfRule>
  </conditionalFormatting>
  <dataValidations count="2">
    <dataValidation type="custom" allowBlank="1" showInputMessage="1" showErrorMessage="1" errorTitle="خطأ في الإدخال" error="رقم مكرّر" promptTitle="شرح معلومات" prompt="احرص أن يكون الرقم فريد" sqref="A1:A1048576" xr:uid="{837FDF4B-5070-4E49-ADE4-B6DF84DEDD7D}">
      <formula1>COUNTIF($A:$A, A1)=1</formula1>
    </dataValidation>
    <dataValidation type="list" allowBlank="1" showInputMessage="1" showErrorMessage="1" errorTitle="خطأ في الإدخال" error="التزم بالخيارات المتاحة فقط" sqref="H1:H1048576" xr:uid="{145AA553-8BF6-498E-B8EC-D14250C3583E}">
      <formula1>"M,R,S"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733452-7830-46AC-8451-A07387E12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E1:F1048576</xm:sqref>
        </x14:conditionalFormatting>
        <x14:conditionalFormatting xmlns:xm="http://schemas.microsoft.com/office/excel/2006/main">
          <x14:cfRule type="dataBar" id="{6C3CFBFF-95D6-45B6-AC31-CF65478AE9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14BFDB2C-041B-4455-99A3-2820BCB5FB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6896-2879-40D1-AE3F-52E43BEF8D17}">
  <dimension ref="A1:J9"/>
  <sheetViews>
    <sheetView rightToLeft="1" zoomScale="78" workbookViewId="0">
      <selection activeCell="D1" sqref="D1"/>
    </sheetView>
  </sheetViews>
  <sheetFormatPr defaultRowHeight="25.05" customHeight="1" x14ac:dyDescent="0.25"/>
  <cols>
    <col min="1" max="1" width="20.796875" style="4" customWidth="1"/>
    <col min="2" max="2" width="29.09765625" style="5" customWidth="1"/>
    <col min="3" max="3" width="55.3984375" style="6" customWidth="1"/>
    <col min="4" max="4" width="34" style="6" customWidth="1"/>
    <col min="5" max="5" width="42.69921875" style="4" customWidth="1"/>
    <col min="6" max="6" width="18.19921875" style="4" hidden="1" customWidth="1"/>
    <col min="7" max="7" width="31.69921875" style="4" customWidth="1"/>
    <col min="8" max="8" width="21.296875" style="4" customWidth="1"/>
    <col min="9" max="9" width="21.5" style="4" customWidth="1"/>
    <col min="10" max="10" width="24.69921875" style="4" customWidth="1"/>
    <col min="11" max="16384" width="8.796875" style="4"/>
  </cols>
  <sheetData>
    <row r="1" spans="1:10" s="44" customFormat="1" ht="45.6" customHeight="1" x14ac:dyDescent="0.25">
      <c r="A1" s="45" t="s">
        <v>321</v>
      </c>
      <c r="B1" s="46" t="s">
        <v>324</v>
      </c>
      <c r="C1" s="47" t="s">
        <v>325</v>
      </c>
      <c r="D1" s="47" t="s">
        <v>322</v>
      </c>
      <c r="E1" s="45" t="s">
        <v>329</v>
      </c>
      <c r="F1" s="45" t="s">
        <v>323</v>
      </c>
      <c r="G1" s="45" t="s">
        <v>322</v>
      </c>
      <c r="H1" s="48">
        <v>2</v>
      </c>
      <c r="I1" s="48">
        <v>3</v>
      </c>
      <c r="J1" s="48">
        <v>4</v>
      </c>
    </row>
    <row r="2" spans="1:10" ht="69.599999999999994" customHeight="1" x14ac:dyDescent="0.25">
      <c r="A2" s="49" t="s">
        <v>313</v>
      </c>
      <c r="B2" s="50">
        <v>46057</v>
      </c>
      <c r="C2" s="51" t="str">
        <f ca="1">IF(B2&lt;=TODAY(),"انتهى وقت التسليم",DATEDIF(TODAY(),B2,"M") &amp; " Monthe and " &amp; DATEDIF(TODAY(),B2,"MD") &amp; " Days")</f>
        <v>انتهى وقت التسليم</v>
      </c>
      <c r="D2" s="51" t="str">
        <f ca="1">IF(B2&gt;TODAY(),"جاري العمل","انتهى وقت التسليم")</f>
        <v>انتهى وقت التسليم</v>
      </c>
      <c r="E2" s="52" t="str">
        <f ca="1">IF(AND(F2="غير",D2="انتهى وقت التسليم"),"العملية صحيحة","يرجى مراجعة عملية التسليم")</f>
        <v>العملية صحيحة</v>
      </c>
      <c r="F2" s="52" t="s">
        <v>328</v>
      </c>
      <c r="G2" s="56" t="str" cm="1">
        <f t="array" ref="G2">_xlfn.IFS(AND(I2&gt;5, H2&gt;5), "تنبيه: ضغط في التسليم والمراجعة معاً!",I2&gt;5, "أكثر من 5 للتسليم",H2&gt;5, "أكثر من 5 للمراجعة",TRUE, "الوضع مستقر")</f>
        <v>تنبيه: ضغط في التسليم والمراجعة معاً!</v>
      </c>
      <c r="H2" s="52" t="s">
        <v>326</v>
      </c>
      <c r="I2" s="52" t="s">
        <v>327</v>
      </c>
      <c r="J2" s="52" t="s">
        <v>330</v>
      </c>
    </row>
    <row r="3" spans="1:10" ht="87" customHeight="1" x14ac:dyDescent="0.25">
      <c r="A3" s="53" t="s">
        <v>314</v>
      </c>
      <c r="B3" s="54">
        <v>46423</v>
      </c>
      <c r="C3" s="55" t="str">
        <f ca="1">IF(B3&lt;=TODAY(),"انتهى وقت التسليم",DATEDIF(TODAY(),B3,"M") &amp; " Monthe and " &amp; DATEDIF(TODAY(),B3,"MD") &amp; " Days")</f>
        <v>9 Monthe and 10 Days</v>
      </c>
      <c r="D3" s="55" t="str">
        <f t="shared" ref="D3:D8" ca="1" si="0">IF(B3&gt;TODAY(),"جاري العمل","انتهى وقت التسليم")</f>
        <v>جاري العمل</v>
      </c>
      <c r="E3" s="56" t="str">
        <f t="shared" ref="E3:E8" ca="1" si="1">IF(AND(F3="تم",D3="جاري العمل"),"العملية صحيحة","يرجى مراجعة عملية التسليم")</f>
        <v>يرجى مراجعة عملية التسليم</v>
      </c>
      <c r="F3" s="56" t="s">
        <v>328</v>
      </c>
      <c r="G3" s="56" t="str" cm="1">
        <f t="array" aca="1" ref="G3" ca="1">_xlfn.IFS(AND(I3&gt;5, H3&gt;5), "تنبيه: ضغط في التسليم والمراجعة معاً!",I3&gt;5, "أكثر من 5 للتسليم",H3&gt;5, "أكثر من 5 للمراجعة",TRUE, "الوضع مستقر")</f>
        <v>الوضع مستقر</v>
      </c>
      <c r="H3" s="56">
        <f ca="1">COUNTIF(D:D,"جاري العمل")</f>
        <v>2</v>
      </c>
      <c r="I3" s="56">
        <f ca="1">COUNTIF(D:D,"انتهى وقت التسليم")</f>
        <v>5</v>
      </c>
      <c r="J3" s="56">
        <f ca="1">COUNTIF(E:E,"يرجى مراجعة عملية التسليم")</f>
        <v>6</v>
      </c>
    </row>
    <row r="4" spans="1:10" ht="50.4" customHeight="1" x14ac:dyDescent="0.25">
      <c r="A4" s="57" t="s">
        <v>315</v>
      </c>
      <c r="B4" s="58">
        <v>46057</v>
      </c>
      <c r="C4" s="59" t="str">
        <f t="shared" ref="C4:C8" ca="1" si="2">IF(B4&lt;=TODAY(),"انتهى وقت التسليم",DATEDIF(TODAY(),B4,"M") &amp; " Monthe and " &amp; DATEDIF(TODAY(),B4,"MD") &amp; " Days")</f>
        <v>انتهى وقت التسليم</v>
      </c>
      <c r="D4" s="59" t="str">
        <f t="shared" ca="1" si="0"/>
        <v>انتهى وقت التسليم</v>
      </c>
      <c r="E4" s="60" t="str">
        <f t="shared" ca="1" si="1"/>
        <v>يرجى مراجعة عملية التسليم</v>
      </c>
      <c r="F4" s="60" t="s">
        <v>328</v>
      </c>
      <c r="G4" s="56" t="str" cm="1">
        <f t="array" ref="G4">_xlfn.IFS(AND(I4&gt;5, H4&gt;5), "تنبيه: ضغط في التسليم والمراجعة معاً!",I4&gt;5, "أكثر من 5 للتسليم",H4&gt;5, "أكثر من 5 للمراجعة",TRUE, "الوضع مستقر")</f>
        <v>الوضع مستقر</v>
      </c>
      <c r="H4" s="60"/>
      <c r="I4" s="60"/>
      <c r="J4" s="60"/>
    </row>
    <row r="5" spans="1:10" ht="78.599999999999994" customHeight="1" x14ac:dyDescent="0.25">
      <c r="A5" s="53" t="s">
        <v>316</v>
      </c>
      <c r="B5" s="54">
        <v>46057</v>
      </c>
      <c r="C5" s="55" t="str">
        <f t="shared" ca="1" si="2"/>
        <v>انتهى وقت التسليم</v>
      </c>
      <c r="D5" s="55" t="str">
        <f t="shared" ca="1" si="0"/>
        <v>انتهى وقت التسليم</v>
      </c>
      <c r="E5" s="56" t="str">
        <f t="shared" ca="1" si="1"/>
        <v>يرجى مراجعة عملية التسليم</v>
      </c>
      <c r="F5" s="56" t="s">
        <v>328</v>
      </c>
      <c r="G5" s="56" t="str" cm="1">
        <f t="array" ref="G5">_xlfn.IFS(AND(I5&gt;5, H5&gt;5), "تنبيه: ضغط في التسليم والمراجعة معاً!",I5&gt;5, "أكثر من 5 للتسليم",H5&gt;5, "أكثر من 5 للمراجعة",TRUE, "الوضع مستقر")</f>
        <v>الوضع مستقر</v>
      </c>
      <c r="H5" s="56"/>
      <c r="I5" s="56"/>
      <c r="J5" s="56"/>
    </row>
    <row r="6" spans="1:10" ht="73.8" customHeight="1" x14ac:dyDescent="0.25">
      <c r="A6" s="57" t="s">
        <v>317</v>
      </c>
      <c r="B6" s="58">
        <v>46057</v>
      </c>
      <c r="C6" s="59" t="str">
        <f ca="1">IF(B6&lt;=TODAY(),"انتهى وقت التسليم",DATEDIF(TODAY(),B6,"M") &amp; " Monthe and " &amp; DATEDIF(TODAY(),B6,"MD") &amp; " Days")</f>
        <v>انتهى وقت التسليم</v>
      </c>
      <c r="D6" s="59" t="str">
        <f t="shared" ca="1" si="0"/>
        <v>انتهى وقت التسليم</v>
      </c>
      <c r="E6" s="60" t="str">
        <f t="shared" ca="1" si="1"/>
        <v>يرجى مراجعة عملية التسليم</v>
      </c>
      <c r="F6" s="60" t="s">
        <v>320</v>
      </c>
      <c r="G6" s="56" t="str" cm="1">
        <f t="array" ref="G6">_xlfn.IFS(AND(I6&gt;5, H6&gt;5), "تنبيه: ضغط في التسليم والمراجعة معاً!",I6&gt;5, "أكثر من 5 للتسليم",H6&gt;5, "أكثر من 5 للمراجعة",TRUE, "الوضع مستقر")</f>
        <v>الوضع مستقر</v>
      </c>
      <c r="H6" s="60"/>
      <c r="I6" s="60"/>
      <c r="J6" s="60"/>
    </row>
    <row r="7" spans="1:10" ht="53.4" customHeight="1" x14ac:dyDescent="0.25">
      <c r="A7" s="53" t="s">
        <v>318</v>
      </c>
      <c r="B7" s="54">
        <v>46271</v>
      </c>
      <c r="C7" s="55" t="str">
        <f t="shared" ca="1" si="2"/>
        <v>4 Monthe and 11 Days</v>
      </c>
      <c r="D7" s="55" t="str">
        <f t="shared" ca="1" si="0"/>
        <v>جاري العمل</v>
      </c>
      <c r="E7" s="56" t="str">
        <f t="shared" ca="1" si="1"/>
        <v>يرجى مراجعة عملية التسليم</v>
      </c>
      <c r="F7" s="56" t="s">
        <v>328</v>
      </c>
      <c r="G7" s="56" t="str" cm="1">
        <f t="array" ref="G7">_xlfn.IFS(AND(I7&gt;5, H7&gt;5), "تنبيه: ضغط في التسليم والمراجعة معاً!",I7&gt;5, "أكثر من 5 للتسليم",H7&gt;5, "أكثر من 5 للمراجعة",TRUE, "الوضع مستقر")</f>
        <v>الوضع مستقر</v>
      </c>
      <c r="H7" s="56"/>
      <c r="I7" s="56"/>
      <c r="J7" s="56"/>
    </row>
    <row r="8" spans="1:10" ht="48.6" customHeight="1" x14ac:dyDescent="0.25">
      <c r="A8" s="57" t="s">
        <v>319</v>
      </c>
      <c r="B8" s="58">
        <v>45907</v>
      </c>
      <c r="C8" s="59" t="str">
        <f t="shared" ca="1" si="2"/>
        <v>انتهى وقت التسليم</v>
      </c>
      <c r="D8" s="59" t="str">
        <f t="shared" ca="1" si="0"/>
        <v>انتهى وقت التسليم</v>
      </c>
      <c r="E8" s="60" t="str">
        <f t="shared" ca="1" si="1"/>
        <v>يرجى مراجعة عملية التسليم</v>
      </c>
      <c r="F8" s="60" t="s">
        <v>328</v>
      </c>
      <c r="G8" s="56" t="str" cm="1">
        <f t="array" ref="G8">_xlfn.IFS(AND(I8&gt;5, H8&gt;5), "تنبيه: ضغط في التسليم والمراجعة معاً!",I8&gt;5, "أكثر من 5 للتسليم",H8&gt;5, "أكثر من 5 للمراجعة",TRUE, "الوضع مستقر")</f>
        <v>الوضع مستقر</v>
      </c>
      <c r="H8" s="60"/>
      <c r="I8" s="59"/>
      <c r="J8" s="60"/>
    </row>
    <row r="9" spans="1:10" ht="25.05" customHeight="1" x14ac:dyDescent="0.25">
      <c r="A9" s="53"/>
      <c r="B9" s="54"/>
      <c r="C9" s="55"/>
      <c r="D9" s="55"/>
      <c r="E9" s="56"/>
      <c r="F9" s="56"/>
      <c r="G9" s="56"/>
      <c r="H9" s="56"/>
      <c r="I9" s="55"/>
      <c r="J9" s="56"/>
    </row>
  </sheetData>
  <phoneticPr fontId="2" type="noConversion"/>
  <dataValidations count="1">
    <dataValidation type="list" allowBlank="1" showInputMessage="1" showErrorMessage="1" sqref="F1:F1048576" xr:uid="{23AD6AD7-D59F-4AE6-80F4-DCC74BB569E2}">
      <formula1>"تم,غير"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E4E1-496F-420D-A5D4-B4B74BB68B13}">
  <dimension ref="A1:D5"/>
  <sheetViews>
    <sheetView rightToLeft="1" zoomScale="140" workbookViewId="0">
      <selection activeCell="C4" sqref="C4"/>
    </sheetView>
  </sheetViews>
  <sheetFormatPr defaultColWidth="20.69921875" defaultRowHeight="19.95" customHeight="1" x14ac:dyDescent="0.25"/>
  <cols>
    <col min="1" max="1" width="20.69921875" style="17"/>
    <col min="2" max="2" width="20.69921875" style="17" customWidth="1"/>
    <col min="3" max="3" width="20.296875" style="17" customWidth="1"/>
    <col min="4" max="4" width="62.3984375" style="17" customWidth="1"/>
    <col min="5" max="16384" width="20.69921875" style="17"/>
  </cols>
  <sheetData>
    <row r="1" spans="1:4" ht="19.95" customHeight="1" x14ac:dyDescent="0.25">
      <c r="A1" s="71" t="s">
        <v>322</v>
      </c>
      <c r="B1" s="71" t="s">
        <v>381</v>
      </c>
      <c r="C1" s="71" t="s">
        <v>323</v>
      </c>
      <c r="D1" s="71" t="s">
        <v>383</v>
      </c>
    </row>
    <row r="2" spans="1:4" ht="19.95" customHeight="1" x14ac:dyDescent="0.25">
      <c r="A2" s="17" t="s">
        <v>382</v>
      </c>
      <c r="D2" s="17" t="str" cm="1">
        <f t="array" ref="D2">_xlfn.IFS(AND(A2="معالجة",B2="",C2=""),"انتظار",AND(A2="معالجة",B2="تم",C2="تم"),"نجاح",AND(A2="معالجة",B2="تم",C2=""),"لم يتم التسليم بعد")</f>
        <v>انتظار</v>
      </c>
    </row>
    <row r="3" spans="1:4" ht="19.95" customHeight="1" x14ac:dyDescent="0.25">
      <c r="A3" s="17" t="s">
        <v>382</v>
      </c>
      <c r="B3" s="17" t="s">
        <v>320</v>
      </c>
      <c r="D3" s="17" t="str" cm="1">
        <f t="array" ref="D3">_xlfn.IFS(AND(A3="معالجة",B3="",C3=""),"انتظار",AND(A3="معالجة",B3="تم",C3="تم"),"نجاح",AND(A3="معالجة",B3="تم",C3=""),"لم يتم التسليم بعد")</f>
        <v>لم يتم التسليم بعد</v>
      </c>
    </row>
    <row r="4" spans="1:4" ht="19.95" customHeight="1" x14ac:dyDescent="0.25">
      <c r="A4" s="17" t="s">
        <v>382</v>
      </c>
      <c r="B4" s="17" t="s">
        <v>320</v>
      </c>
      <c r="C4" s="17" t="s">
        <v>320</v>
      </c>
      <c r="D4" s="17" t="str" cm="1">
        <f t="array" ref="D4">_xlfn.IFS(AND(A4="معالجة",B4="",C4=""),"انتظار",AND(A4="معالجة",B4="تم",C4="تم"),"نجاح",AND(A4="معالجة",B4="تم",C4=""),"لم يتم التسليم بعد")</f>
        <v>نجاح</v>
      </c>
    </row>
    <row r="5" spans="1:4" ht="19.95" customHeight="1" x14ac:dyDescent="0.25">
      <c r="A5" s="17" t="s">
        <v>382</v>
      </c>
      <c r="C5" s="17" t="s">
        <v>320</v>
      </c>
      <c r="D5" s="17" t="e" cm="1">
        <f t="array" ref="D5">_xlfn.IFS(AND(A5="معالجة",B5="",C5=""),"انتظار",AND(A5="معالجة",B5="تم",C5="تم"),"نجاح",AND(A5="معالجة",B5="تم",C5=""),"لم يتم التسليم بعد")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ADE2-59FD-4778-B819-4A62E4F4E548}">
  <dimension ref="A1:Q16"/>
  <sheetViews>
    <sheetView rightToLeft="1" tabSelected="1" zoomScale="96" workbookViewId="0">
      <selection activeCell="C1" sqref="C1"/>
    </sheetView>
  </sheetViews>
  <sheetFormatPr defaultRowHeight="18" customHeight="1" x14ac:dyDescent="0.25"/>
  <cols>
    <col min="1" max="1" width="17.09765625" style="17" customWidth="1"/>
    <col min="2" max="2" width="16.8984375" style="17" customWidth="1"/>
    <col min="3" max="3" width="47.5" style="1" customWidth="1"/>
    <col min="4" max="4" width="12.69921875" style="1" customWidth="1"/>
    <col min="5" max="8" width="8.796875" style="1"/>
    <col min="9" max="9" width="11.5" style="1" customWidth="1"/>
    <col min="10" max="16" width="8.796875" style="1"/>
    <col min="17" max="17" width="16.5" style="1" customWidth="1"/>
    <col min="18" max="16384" width="8.796875" style="1"/>
  </cols>
  <sheetData>
    <row r="1" spans="1:17" ht="30" customHeight="1" thickBot="1" x14ac:dyDescent="0.3">
      <c r="A1" s="29" t="s">
        <v>342</v>
      </c>
      <c r="B1" s="30" t="s">
        <v>343</v>
      </c>
      <c r="C1" s="25"/>
      <c r="Q1" s="5"/>
    </row>
    <row r="2" spans="1:17" ht="30" customHeight="1" thickTop="1" x14ac:dyDescent="0.25">
      <c r="A2" s="24" t="s">
        <v>344</v>
      </c>
      <c r="B2" s="23">
        <f>COUNTIF(Table4[تنظيف البيانات],"&lt;&gt;")</f>
        <v>50</v>
      </c>
      <c r="C2" s="26" t="s">
        <v>345</v>
      </c>
      <c r="M2" s="34"/>
    </row>
    <row r="3" spans="1:17" ht="30" customHeight="1" x14ac:dyDescent="0.25">
      <c r="A3" s="24" t="s">
        <v>349</v>
      </c>
      <c r="B3" s="23">
        <f>COUNTIF('بيانات المتدربين'!F:F,"ذكر")</f>
        <v>26</v>
      </c>
      <c r="C3" s="27" t="s">
        <v>355</v>
      </c>
    </row>
    <row r="4" spans="1:17" ht="30" customHeight="1" x14ac:dyDescent="0.25">
      <c r="A4" s="24" t="s">
        <v>350</v>
      </c>
      <c r="B4" s="23">
        <f>COUNTIF('بيانات المتدربين'!F:F,"أنثى")</f>
        <v>24</v>
      </c>
      <c r="C4" s="28" t="s">
        <v>356</v>
      </c>
    </row>
    <row r="5" spans="1:17" ht="30" customHeight="1" x14ac:dyDescent="0.25">
      <c r="A5" s="24" t="s">
        <v>351</v>
      </c>
      <c r="B5" s="23">
        <f>COUNTIF('بيانات المتدربين'!H:H,"HR")</f>
        <v>9</v>
      </c>
      <c r="C5" s="27" t="s">
        <v>357</v>
      </c>
    </row>
    <row r="6" spans="1:17" ht="30" customHeight="1" x14ac:dyDescent="0.25">
      <c r="A6" s="24" t="s">
        <v>352</v>
      </c>
      <c r="B6" s="23">
        <f>COUNTIF('بيانات المتدربين'!H:H,"FIN")</f>
        <v>14</v>
      </c>
      <c r="C6" s="28" t="s">
        <v>358</v>
      </c>
    </row>
    <row r="7" spans="1:17" ht="30" customHeight="1" x14ac:dyDescent="0.25">
      <c r="A7" s="24" t="s">
        <v>353</v>
      </c>
      <c r="B7" s="23">
        <f>COUNTIF('بيانات المتدربين'!H:H,"ADM")</f>
        <v>16</v>
      </c>
      <c r="C7" s="27" t="s">
        <v>359</v>
      </c>
    </row>
    <row r="8" spans="1:17" ht="30" customHeight="1" x14ac:dyDescent="0.25">
      <c r="A8" s="24" t="s">
        <v>354</v>
      </c>
      <c r="B8" s="23">
        <f>COUNTIF('بيانات المتدربين'!H:H,"LEG")</f>
        <v>11</v>
      </c>
      <c r="C8" s="28" t="s">
        <v>360</v>
      </c>
    </row>
    <row r="9" spans="1:17" ht="30" customHeight="1" x14ac:dyDescent="0.25">
      <c r="A9" s="24" t="s">
        <v>361</v>
      </c>
      <c r="B9" s="23">
        <f>COUNTIF('بيانات المتدربين'!I:I,"&gt;=2014")</f>
        <v>22</v>
      </c>
      <c r="C9" s="27" t="s">
        <v>363</v>
      </c>
    </row>
    <row r="10" spans="1:17" ht="30" customHeight="1" x14ac:dyDescent="0.25">
      <c r="A10" s="24" t="s">
        <v>362</v>
      </c>
      <c r="B10" s="23">
        <f>COUNTIF('بيانات المتدربين'!I:I,"&lt;2014")</f>
        <v>28</v>
      </c>
      <c r="C10" s="27" t="s">
        <v>364</v>
      </c>
    </row>
    <row r="11" spans="1:17" ht="30" customHeight="1" x14ac:dyDescent="0.25">
      <c r="A11" s="24"/>
      <c r="B11" s="23"/>
      <c r="C11" s="27"/>
    </row>
    <row r="12" spans="1:17" ht="30" customHeight="1" x14ac:dyDescent="0.25">
      <c r="A12" s="24" t="s">
        <v>365</v>
      </c>
      <c r="B12" s="23">
        <f ca="1">SUMIF('المعاملات المالية'!H:J,الإحصاء!C12,'المعاملات المالية'!I:I)</f>
        <v>610.64</v>
      </c>
      <c r="C12" s="28" t="s">
        <v>341</v>
      </c>
    </row>
    <row r="13" spans="1:17" ht="30" customHeight="1" x14ac:dyDescent="0.25">
      <c r="A13" s="24" t="s">
        <v>384</v>
      </c>
      <c r="B13" s="61">
        <v>650</v>
      </c>
      <c r="C13" s="27"/>
    </row>
    <row r="14" spans="1:17" ht="30" customHeight="1" x14ac:dyDescent="0.25">
      <c r="A14" s="24" t="s">
        <v>385</v>
      </c>
      <c r="B14" s="61">
        <f ca="1">MIN('المعاملات المالية'!G:G)</f>
        <v>99</v>
      </c>
      <c r="C14" s="28"/>
    </row>
    <row r="15" spans="1:17" ht="30" customHeight="1" x14ac:dyDescent="0.25">
      <c r="A15" s="24" t="s">
        <v>386</v>
      </c>
      <c r="B15" s="23">
        <f ca="1">AVERAGE('المعاملات المالية'!G:G)</f>
        <v>159.81428571428572</v>
      </c>
      <c r="C15" s="27"/>
    </row>
    <row r="16" spans="1:17" ht="30" customHeight="1" x14ac:dyDescent="0.25">
      <c r="A16" s="31"/>
      <c r="B16" s="32"/>
      <c r="C16" s="28"/>
    </row>
  </sheetData>
  <dataValidations count="1">
    <dataValidation allowBlank="1" showInputMessage="1" showErrorMessage="1" promptTitle="تحديد القسم" prompt="حدد القسم الذي تريد جمع رواتبه_x000a_" sqref="C12" xr:uid="{96B30CEE-1B5F-4AA2-8BBC-1C51F23AC57F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الصفحة الرئيسية</vt:lpstr>
      <vt:lpstr>الرسوم البيانية</vt:lpstr>
      <vt:lpstr>البحث</vt:lpstr>
      <vt:lpstr>بيانات المتدربين</vt:lpstr>
      <vt:lpstr>المعاملات المالية</vt:lpstr>
      <vt:lpstr>المعاملات الوصفية</vt:lpstr>
      <vt:lpstr>IFS</vt:lpstr>
      <vt:lpstr>الإحصاء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Majd Harb</cp:lastModifiedBy>
  <cp:lastPrinted>2026-04-22T09:54:21Z</cp:lastPrinted>
  <dcterms:created xsi:type="dcterms:W3CDTF">2026-04-15T17:34:06Z</dcterms:created>
  <dcterms:modified xsi:type="dcterms:W3CDTF">2026-04-26T10:09:32Z</dcterms:modified>
</cp:coreProperties>
</file>